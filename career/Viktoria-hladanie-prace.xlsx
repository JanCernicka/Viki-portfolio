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lovenia" sheetId="1" state="visible" r:id="rId1"/>
    <sheet name="Prehľad" sheetId="2" state="visible" r:id="rId2"/>
    <sheet name="Adresár" sheetId="3" state="visible" r:id="rId3"/>
    <sheet name="Inzeráty" sheetId="4" state="visible" r:id="rId4"/>
    <sheet name="Úloh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A1A1A"/>
      <sz val="15"/>
    </font>
    <font>
      <name val="Arial"/>
      <i val="1"/>
      <color rgb="006B6154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5F5B3A"/>
      <sz val="10"/>
    </font>
    <font>
      <name val="Arial"/>
      <b val="1"/>
      <color rgb="00B85C33"/>
      <sz val="18"/>
    </font>
  </fonts>
  <fills count="5">
    <fill>
      <patternFill/>
    </fill>
    <fill>
      <patternFill patternType="gray125"/>
    </fill>
    <fill>
      <patternFill patternType="solid">
        <fgColor rgb="00B85C33"/>
      </patternFill>
    </fill>
    <fill>
      <patternFill patternType="solid">
        <fgColor rgb="00FFF9E3"/>
      </patternFill>
    </fill>
    <fill>
      <patternFill patternType="solid">
        <fgColor rgb="00F5EDE2"/>
      </patternFill>
    </fill>
  </fills>
  <borders count="2">
    <border>
      <left/>
      <right/>
      <top/>
      <bottom/>
      <diagonal/>
    </border>
    <border>
      <left style="thin">
        <color rgb="00D8CCBE"/>
      </left>
      <right style="thin">
        <color rgb="00D8CCBE"/>
      </right>
      <top style="thin">
        <color rgb="00D8CCBE"/>
      </top>
      <bottom style="thin">
        <color rgb="00D8CCB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4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4" borderId="1" applyAlignment="1" pivotButton="0" quotePrefix="0" xfId="0">
      <alignment vertical="top" wrapText="1"/>
    </xf>
    <xf numFmtId="1" fontId="6" fillId="0" borderId="0" pivotButton="0" quotePrefix="0" xfId="0"/>
    <xf numFmtId="1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pivotButton="0" quotePrefix="0" xfId="0"/>
    <xf numFmtId="1" fontId="4" fillId="0" borderId="1" pivotButton="0" quotePrefix="0" xfId="0"/>
    <xf numFmtId="164" fontId="4" fillId="0" borderId="1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2E5B1E"/>
        <sz val="10"/>
      </font>
      <fill>
        <patternFill patternType="solid">
          <fgColor rgb="00D6E8C8"/>
        </patternFill>
      </fill>
    </dxf>
    <dxf>
      <font>
        <name val="Arial"/>
        <color rgb="008A2F14"/>
        <sz val="10"/>
      </font>
      <fill>
        <patternFill patternType="solid">
          <fgColor rgb="00F3D6CE"/>
        </patternFill>
      </fill>
    </dxf>
    <dxf>
      <font>
        <name val="Arial"/>
        <color rgb="007A5A12"/>
        <sz val="10"/>
      </font>
      <fill>
        <patternFill patternType="solid">
          <fgColor rgb="00FBEBC6"/>
        </patternFill>
      </fill>
    </dxf>
    <dxf>
      <font>
        <name val="Arial"/>
        <color rgb="006B6154"/>
        <sz val="10"/>
      </font>
      <fill>
        <patternFill patternType="solid">
          <fgColor rgb="00ECE7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0" customWidth="1" min="4" max="4"/>
    <col width="32" customWidth="1" min="5" max="5"/>
    <col width="15" customWidth="1" min="6" max="6"/>
    <col width="14" customWidth="1" min="7" max="7"/>
    <col width="36" customWidth="1" min="8" max="8"/>
    <col width="14" customWidth="1" min="9" max="9"/>
    <col width="10" customWidth="1" min="10" max="10"/>
    <col width="26" customWidth="1" min="11" max="11"/>
  </cols>
  <sheetData>
    <row r="1">
      <c r="A1" s="1" t="inlineStr">
        <is>
          <t>Oslovenia — komu som napísala a čo z toho bolo</t>
        </is>
      </c>
    </row>
    <row r="2">
      <c r="A2" s="2" t="inlineStr">
        <is>
          <t>Ťukni do žltého poľa a vyber zo zoznamu. Bunka sa sama sfarbí: zelená odpísali, červená odmietli, oranžová čakám. Studené oslovenia najviac jedno za týždeň.</t>
        </is>
      </c>
    </row>
    <row r="3">
      <c r="A3" s="2" t="inlineStr">
        <is>
          <t>PRÍKLAD:  áno | 05.08.2026 | Michal Šajmír | Slovart, výtvarná redakcia | sajmir@slovart.sk | studené | knižné | „Ide to cez odporúčanie alebo cez portfólio?" | odpísali | nie | VŠVU</t>
        </is>
      </c>
    </row>
    <row r="5" ht="32" customHeight="1">
      <c r="A5" s="14" t="inlineStr">
        <is>
          <t>Napísala som</t>
        </is>
      </c>
      <c r="B5" s="15" t="inlineStr">
        <is>
          <t>Dátum</t>
        </is>
      </c>
      <c r="C5" s="15" t="inlineStr">
        <is>
          <t>Meno</t>
        </is>
      </c>
      <c r="D5" s="15" t="inlineStr">
        <is>
          <t>Firma a funkcia</t>
        </is>
      </c>
      <c r="E5" s="15" t="inlineStr">
        <is>
          <t>Kontakt</t>
        </is>
      </c>
      <c r="F5" s="15" t="inlineStr">
        <is>
          <t>Typ oslovenia</t>
        </is>
      </c>
      <c r="G5" s="15" t="inlineStr">
        <is>
          <t>Verzia portfólia</t>
        </is>
      </c>
      <c r="H5" s="15" t="inlineStr">
        <is>
          <t>Prosba, ktorú som položila</t>
        </is>
      </c>
      <c r="I5" s="14" t="inlineStr">
        <is>
          <t>Výsledok</t>
        </is>
      </c>
      <c r="J5" s="14" t="inlineStr">
        <is>
          <t>Nudge</t>
        </is>
      </c>
      <c r="K5" s="15" t="inlineStr">
        <is>
          <t>Poznámka</t>
        </is>
      </c>
    </row>
    <row r="6">
      <c r="A6" s="16" t="inlineStr"/>
      <c r="B6" s="17" t="inlineStr"/>
      <c r="C6" s="18" t="inlineStr">
        <is>
          <t>Michal Šajmír</t>
        </is>
      </c>
      <c r="D6" s="18" t="inlineStr">
        <is>
          <t>Slovart — výtvarná redakcia</t>
        </is>
      </c>
      <c r="E6" s="18" t="inlineStr">
        <is>
          <t>sajmir@slovart.sk</t>
        </is>
      </c>
      <c r="F6" s="18" t="inlineStr">
        <is>
          <t>studené</t>
        </is>
      </c>
      <c r="G6" s="18" t="inlineStr">
        <is>
          <t>knižné</t>
        </is>
      </c>
      <c r="H6" s="17" t="inlineStr"/>
      <c r="I6" s="16" t="inlineStr"/>
      <c r="J6" s="16" t="inlineStr"/>
      <c r="K6" s="17" t="inlineStr"/>
    </row>
    <row r="7">
      <c r="A7" s="16" t="inlineStr"/>
      <c r="B7" s="17" t="inlineStr"/>
      <c r="C7" s="18" t="inlineStr">
        <is>
          <t>Eva Bubnášová</t>
        </is>
      </c>
      <c r="D7" s="18" t="inlineStr">
        <is>
          <t>Spolok sv. Vojtecha, Trnava — šéfredaktorka</t>
        </is>
      </c>
      <c r="E7" s="18" t="inlineStr">
        <is>
          <t>sefredaktor@ssv.sk</t>
        </is>
      </c>
      <c r="F7" s="18" t="inlineStr">
        <is>
          <t>studené</t>
        </is>
      </c>
      <c r="G7" s="18" t="inlineStr">
        <is>
          <t>knižné</t>
        </is>
      </c>
      <c r="H7" s="17" t="inlineStr"/>
      <c r="I7" s="16" t="inlineStr"/>
      <c r="J7" s="16" t="inlineStr"/>
      <c r="K7" s="17" t="inlineStr"/>
    </row>
    <row r="8">
      <c r="A8" s="16" t="inlineStr"/>
      <c r="B8" s="17" t="inlineStr"/>
      <c r="C8" s="18" t="inlineStr">
        <is>
          <t>redakcia</t>
        </is>
      </c>
      <c r="D8" s="18" t="inlineStr">
        <is>
          <t>Orbis Pictus Istropolitana</t>
        </is>
      </c>
      <c r="E8" s="18" t="inlineStr">
        <is>
          <t>redakcia@orbispictus.sk</t>
        </is>
      </c>
      <c r="F8" s="18" t="inlineStr">
        <is>
          <t>studené</t>
        </is>
      </c>
      <c r="G8" s="18" t="inlineStr">
        <is>
          <t>knižné</t>
        </is>
      </c>
      <c r="H8" s="17" t="inlineStr"/>
      <c r="I8" s="16" t="inlineStr"/>
      <c r="J8" s="16" t="inlineStr"/>
      <c r="K8" s="17" t="inlineStr"/>
    </row>
    <row r="9">
      <c r="A9" s="16" t="inlineStr"/>
      <c r="B9" s="17" t="inlineStr"/>
      <c r="C9" s="18" t="inlineStr">
        <is>
          <t>Sandra Friedrichová</t>
        </is>
      </c>
      <c r="D9" s="18" t="inlineStr">
        <is>
          <t>Albatros Media — technická redakcia</t>
        </is>
      </c>
      <c r="E9" s="18" t="inlineStr">
        <is>
          <t>sandra.friedrichova@albatrosmedia.sk</t>
        </is>
      </c>
      <c r="F9" s="18" t="inlineStr">
        <is>
          <t>studené</t>
        </is>
      </c>
      <c r="G9" s="18" t="inlineStr">
        <is>
          <t>knižné</t>
        </is>
      </c>
      <c r="H9" s="17" t="inlineStr"/>
      <c r="I9" s="16" t="inlineStr"/>
      <c r="J9" s="16" t="inlineStr"/>
      <c r="K9" s="17" t="inlineStr"/>
    </row>
    <row r="10">
      <c r="A10" s="16" t="inlineStr"/>
      <c r="B10" s="17" t="inlineStr"/>
      <c r="C10" s="18" t="inlineStr">
        <is>
          <t>redakcia</t>
        </is>
      </c>
      <c r="D10" s="18" t="inlineStr">
        <is>
          <t>Dobrá kniha, Trnava</t>
        </is>
      </c>
      <c r="E10" s="18" t="inlineStr">
        <is>
          <t>redakcia@dobrakniha.sk</t>
        </is>
      </c>
      <c r="F10" s="18" t="inlineStr">
        <is>
          <t>studené</t>
        </is>
      </c>
      <c r="G10" s="18" t="inlineStr">
        <is>
          <t>knižné</t>
        </is>
      </c>
      <c r="H10" s="17" t="inlineStr"/>
      <c r="I10" s="16" t="inlineStr"/>
      <c r="J10" s="16" t="inlineStr"/>
      <c r="K10" s="17" t="inlineStr"/>
    </row>
    <row r="11">
      <c r="A11" s="16" t="inlineStr"/>
      <c r="B11" s="17" t="inlineStr"/>
      <c r="C11" s="18" t="inlineStr">
        <is>
          <t>Mária Števková</t>
        </is>
      </c>
      <c r="D11" s="18" t="inlineStr">
        <is>
          <t>Buvik — šéfredaktorka</t>
        </is>
      </c>
      <c r="E11" s="18" t="inlineStr">
        <is>
          <t>buvik@buvik.sk</t>
        </is>
      </c>
      <c r="F11" s="18" t="inlineStr">
        <is>
          <t>studené</t>
        </is>
      </c>
      <c r="G11" s="18" t="inlineStr">
        <is>
          <t>knižné</t>
        </is>
      </c>
      <c r="H11" s="17" t="inlineStr"/>
      <c r="I11" s="16" t="inlineStr"/>
      <c r="J11" s="16" t="inlineStr"/>
      <c r="K11" s="17" t="inlineStr"/>
    </row>
    <row r="12">
      <c r="A12" s="16" t="inlineStr"/>
      <c r="B12" s="17" t="inlineStr"/>
      <c r="C12" s="18" t="inlineStr">
        <is>
          <t>redakcia</t>
        </is>
      </c>
      <c r="D12" s="18" t="inlineStr">
        <is>
          <t>IKAR</t>
        </is>
      </c>
      <c r="E12" s="18" t="inlineStr">
        <is>
          <t>redakcia@ikar.sk</t>
        </is>
      </c>
      <c r="F12" s="18" t="inlineStr">
        <is>
          <t>studené</t>
        </is>
      </c>
      <c r="G12" s="18" t="inlineStr">
        <is>
          <t>knižné</t>
        </is>
      </c>
      <c r="H12" s="17" t="inlineStr"/>
      <c r="I12" s="16" t="inlineStr"/>
      <c r="J12" s="16" t="inlineStr"/>
      <c r="K12" s="17" t="inlineStr"/>
    </row>
    <row r="13">
      <c r="A13" s="16" t="inlineStr"/>
      <c r="B13" s="17" t="inlineStr"/>
      <c r="C13" s="18" t="inlineStr">
        <is>
          <t>výstavy</t>
        </is>
      </c>
      <c r="D13" s="18" t="inlineStr">
        <is>
          <t>BIBIANA</t>
        </is>
      </c>
      <c r="E13" s="18" t="inlineStr">
        <is>
          <t>realizacia@bibiana.sk</t>
        </is>
      </c>
      <c r="F13" s="18" t="inlineStr">
        <is>
          <t>studené</t>
        </is>
      </c>
      <c r="G13" s="18" t="inlineStr">
        <is>
          <t>knižné</t>
        </is>
      </c>
      <c r="H13" s="17" t="inlineStr"/>
      <c r="I13" s="16" t="inlineStr"/>
      <c r="J13" s="16" t="inlineStr"/>
      <c r="K13" s="17" t="inlineStr"/>
    </row>
    <row r="14">
      <c r="A14" s="16" t="inlineStr"/>
      <c r="B14" s="17" t="inlineStr"/>
      <c r="C14" s="18" t="inlineStr">
        <is>
          <t>Agáta Petrisková</t>
        </is>
      </c>
      <c r="D14" s="18" t="inlineStr">
        <is>
          <t>Slovart — výtvarná redakcia (záloha)</t>
        </is>
      </c>
      <c r="E14" s="18" t="inlineStr">
        <is>
          <t>petriskova@slovart.sk</t>
        </is>
      </c>
      <c r="F14" s="18" t="inlineStr">
        <is>
          <t>studené</t>
        </is>
      </c>
      <c r="G14" s="18" t="inlineStr">
        <is>
          <t>knižné</t>
        </is>
      </c>
      <c r="H14" s="17" t="inlineStr"/>
      <c r="I14" s="16" t="inlineStr"/>
      <c r="J14" s="16" t="inlineStr"/>
      <c r="K14" s="17" t="inlineStr"/>
    </row>
    <row r="15">
      <c r="A15" s="16" t="inlineStr"/>
      <c r="B15" s="17" t="inlineStr"/>
      <c r="C15" s="18" t="inlineStr">
        <is>
          <t>personálne oddelenie</t>
        </is>
      </c>
      <c r="D15" s="18" t="inlineStr">
        <is>
          <t>Slovenská Grafia — tlačiareň</t>
        </is>
      </c>
      <c r="E15" s="18" t="inlineStr">
        <is>
          <t>kariera@grafia.sk</t>
        </is>
      </c>
      <c r="F15" s="18" t="inlineStr">
        <is>
          <t>studené</t>
        </is>
      </c>
      <c r="G15" s="18" t="inlineStr">
        <is>
          <t>grafické</t>
        </is>
      </c>
      <c r="H15" s="17" t="inlineStr"/>
      <c r="I15" s="16" t="inlineStr"/>
      <c r="J15" s="16" t="inlineStr"/>
      <c r="K15" s="17" t="inlineStr"/>
    </row>
    <row r="16">
      <c r="A16" s="16" t="inlineStr">
        <is>
          <t>áno</t>
        </is>
      </c>
      <c r="B16" s="17" t="inlineStr">
        <is>
          <t>18. 8. 2026</t>
        </is>
      </c>
      <c r="C16" s="18" t="inlineStr">
        <is>
          <t>Ing. Patrik Jurkovič</t>
        </is>
      </c>
      <c r="D16" s="18" t="inlineStr">
        <is>
          <t>SOŠ polygrafická — hlavný majster odbornej výchovy</t>
        </is>
      </c>
      <c r="E16" s="18" t="inlineStr">
        <is>
          <t>doplniť</t>
        </is>
      </c>
      <c r="F16" s="18" t="inlineStr">
        <is>
          <t>Re-RO</t>
        </is>
      </c>
      <c r="G16" s="18" t="inlineStr">
        <is>
          <t>knižné</t>
        </is>
      </c>
      <c r="H16" s="17" t="inlineStr">
        <is>
          <t>doplniť</t>
        </is>
      </c>
      <c r="I16" s="16" t="inlineStr">
        <is>
          <t>čakám na odpoveď</t>
        </is>
      </c>
      <c r="J16" s="16" t="inlineStr"/>
      <c r="K16" s="17" t="inlineStr">
        <is>
          <t>Nudge 25. 8., ak bude ticho</t>
        </is>
      </c>
    </row>
    <row r="17">
      <c r="A17" s="16" t="inlineStr">
        <is>
          <t>áno</t>
        </is>
      </c>
      <c r="B17" s="17" t="inlineStr">
        <is>
          <t>18. 8. 2026</t>
        </is>
      </c>
      <c r="C17" s="18" t="inlineStr">
        <is>
          <t>pani Kardošová</t>
        </is>
      </c>
      <c r="D17" s="18" t="inlineStr">
        <is>
          <t>doplniť</t>
        </is>
      </c>
      <c r="E17" s="18" t="inlineStr">
        <is>
          <t>doplniť</t>
        </is>
      </c>
      <c r="F17" s="18" t="inlineStr">
        <is>
          <t>Re-RO</t>
        </is>
      </c>
      <c r="G17" s="18" t="inlineStr">
        <is>
          <t>knižné</t>
        </is>
      </c>
      <c r="H17" s="17" t="inlineStr">
        <is>
          <t>doplniť</t>
        </is>
      </c>
      <c r="I17" s="16" t="inlineStr">
        <is>
          <t>čakám na odpoveď</t>
        </is>
      </c>
      <c r="J17" s="16" t="inlineStr"/>
      <c r="K17" s="17" t="inlineStr">
        <is>
          <t>Nudge 25. 8., ak bude ticho</t>
        </is>
      </c>
    </row>
    <row r="18">
      <c r="A18" s="16" t="inlineStr"/>
      <c r="B18" s="17" t="inlineStr"/>
      <c r="C18" s="18" t="inlineStr">
        <is>
          <t>[doplň meno]</t>
        </is>
      </c>
      <c r="D18" s="18" t="inlineStr">
        <is>
          <t>PEVŠ — vedúci diplomovky</t>
        </is>
      </c>
      <c r="E18" s="18" t="n"/>
      <c r="F18" s="18" t="inlineStr">
        <is>
          <t>Re-RO</t>
        </is>
      </c>
      <c r="G18" s="18" t="inlineStr">
        <is>
          <t>knižné</t>
        </is>
      </c>
      <c r="H18" s="17" t="inlineStr"/>
      <c r="I18" s="16" t="inlineStr"/>
      <c r="J18" s="16" t="inlineStr"/>
      <c r="K18" s="17" t="inlineStr"/>
    </row>
    <row r="19">
      <c r="A19" s="16" t="inlineStr"/>
      <c r="B19" s="17" t="inlineStr"/>
      <c r="C19" s="18" t="inlineStr">
        <is>
          <t>[doplň meno]</t>
        </is>
      </c>
      <c r="D19" s="18" t="inlineStr">
        <is>
          <t>MOJESIDLO — bývalý kolega</t>
        </is>
      </c>
      <c r="E19" s="18" t="n"/>
      <c r="F19" s="18" t="inlineStr">
        <is>
          <t>Re-RO</t>
        </is>
      </c>
      <c r="G19" s="18" t="inlineStr">
        <is>
          <t>grafické</t>
        </is>
      </c>
      <c r="H19" s="17" t="inlineStr"/>
      <c r="I19" s="16" t="inlineStr"/>
      <c r="J19" s="16" t="inlineStr"/>
      <c r="K19" s="17" t="inlineStr"/>
    </row>
    <row r="20">
      <c r="A20" s="16" t="inlineStr"/>
      <c r="B20" s="17" t="inlineStr"/>
      <c r="C20" s="18" t="inlineStr">
        <is>
          <t>[doplň meno]</t>
        </is>
      </c>
      <c r="D20" s="18" t="inlineStr">
        <is>
          <t>Spolužiak</t>
        </is>
      </c>
      <c r="E20" s="18" t="n"/>
      <c r="F20" s="18" t="inlineStr">
        <is>
          <t>Re-RO</t>
        </is>
      </c>
      <c r="G20" s="18" t="inlineStr">
        <is>
          <t>grafické</t>
        </is>
      </c>
      <c r="H20" s="17" t="inlineStr"/>
      <c r="I20" s="16" t="inlineStr"/>
      <c r="J20" s="16" t="inlineStr"/>
      <c r="K20" s="17" t="inlineStr"/>
    </row>
    <row r="21">
      <c r="A21" s="16" t="inlineStr">
        <is>
          <t>áno</t>
        </is>
      </c>
      <c r="B21" s="17" t="inlineStr">
        <is>
          <t>doplniť</t>
        </is>
      </c>
      <c r="C21" s="18" t="inlineStr">
        <is>
          <t>doplniť</t>
        </is>
      </c>
      <c r="D21" s="18" t="inlineStr">
        <is>
          <t>Kempelenov inštitút inteligentných technológií — graphic designer</t>
        </is>
      </c>
      <c r="E21" s="18" t="inlineStr">
        <is>
          <t>doplniť</t>
        </is>
      </c>
      <c r="F21" s="18" t="inlineStr">
        <is>
          <t>inzerát</t>
        </is>
      </c>
      <c r="G21" s="18" t="inlineStr">
        <is>
          <t>grafické</t>
        </is>
      </c>
      <c r="H21" s="17" t="inlineStr">
        <is>
          <t>Prihláška cez Profesiu</t>
        </is>
      </c>
      <c r="I21" s="16" t="inlineStr">
        <is>
          <t>odmietli</t>
        </is>
      </c>
      <c r="J21" s="16" t="n"/>
      <c r="K21" s="17" t="inlineStr">
        <is>
          <t>Sky Park Offices, Bottova, Bratislava. 1 800 € mesačne, občas práca z domu.</t>
        </is>
      </c>
    </row>
    <row r="22">
      <c r="A22" s="16" t="inlineStr">
        <is>
          <t>áno</t>
        </is>
      </c>
      <c r="B22" s="17" t="inlineStr">
        <is>
          <t>utorok 4. 8. 2026 (over si)</t>
        </is>
      </c>
      <c r="C22" s="18" t="inlineStr">
        <is>
          <t>kontakt z pohovoru</t>
        </is>
      </c>
      <c r="D22" s="18" t="inlineStr">
        <is>
          <t>High5 — Mid/Senior Graphic Designer</t>
        </is>
      </c>
      <c r="E22" s="18" t="inlineStr">
        <is>
          <t>doplniť</t>
        </is>
      </c>
      <c r="F22" s="18" t="inlineStr">
        <is>
          <t>inzerát</t>
        </is>
      </c>
      <c r="G22" s="18" t="inlineStr">
        <is>
          <t>grafické</t>
        </is>
      </c>
      <c r="H22" s="17" t="inlineStr">
        <is>
          <t>Prihláška cez Pretlak</t>
        </is>
      </c>
      <c r="I22" s="16" t="inlineStr">
        <is>
          <t>odmietli</t>
        </is>
      </c>
      <c r="J22" s="16" t="n"/>
      <c r="K22" s="17" t="inlineStr">
        <is>
          <t>Bratislava, od 1 800 €. Pohovor absolvovaný. 18. 8. 2026 odmietnutie, vybrali kandidáta so skúsenosťami. V ten deň odpoveď s prosbou o jednu konkrétnu spätnú väzbu a ponukou výpomoci, plus spojenie na LinkedIne. Druhý kontakt november 2026.</t>
        </is>
      </c>
    </row>
    <row r="23">
      <c r="A23" s="16" t="inlineStr">
        <is>
          <t>áno</t>
        </is>
      </c>
      <c r="B23" s="17" t="inlineStr">
        <is>
          <t>utorok 4. 8. 2026 (over si)</t>
        </is>
      </c>
      <c r="C23" s="18" t="inlineStr">
        <is>
          <t>doplniť</t>
        </is>
      </c>
      <c r="D23" s="18" t="inlineStr">
        <is>
          <t>Expresta — externý grafik</t>
        </is>
      </c>
      <c r="E23" s="18" t="inlineStr">
        <is>
          <t>doplniť</t>
        </is>
      </c>
      <c r="F23" s="18" t="inlineStr">
        <is>
          <t>inzerát</t>
        </is>
      </c>
      <c r="G23" s="18" t="inlineStr">
        <is>
          <t>grafické</t>
        </is>
      </c>
      <c r="H23" s="17" t="inlineStr">
        <is>
          <t>Prihláška cez Profesiu</t>
        </is>
      </c>
      <c r="I23" s="16" t="inlineStr">
        <is>
          <t>čakám na odpoveď</t>
        </is>
      </c>
      <c r="J23" s="16" t="n"/>
      <c r="K23" s="17" t="inlineStr">
        <is>
          <t>Bratislava, práca z domu, na živnosť, 500 až 2 500 €.</t>
        </is>
      </c>
    </row>
    <row r="24">
      <c r="A24" s="16" t="inlineStr">
        <is>
          <t>áno</t>
        </is>
      </c>
      <c r="B24" s="17" t="inlineStr">
        <is>
          <t>11. 8. 2026</t>
        </is>
      </c>
      <c r="C24" s="18" t="inlineStr">
        <is>
          <t>Alexandra Pilo — HR manažérka</t>
        </is>
      </c>
      <c r="D24" s="18" t="inlineStr">
        <is>
          <t>Slovenská národná galéria — junior grafik a DTP operátor</t>
        </is>
      </c>
      <c r="E24" s="18" t="inlineStr">
        <is>
          <t>kariera@sng.sk, marta.kapustova@sng.sk</t>
        </is>
      </c>
      <c r="F24" s="18" t="inlineStr">
        <is>
          <t>inzerát</t>
        </is>
      </c>
      <c r="G24" s="18" t="inlineStr">
        <is>
          <t>grafické</t>
        </is>
      </c>
      <c r="H24" s="17" t="inlineStr">
        <is>
          <t>Prihláška cez Profesiu a e-mailom</t>
        </is>
      </c>
      <c r="I24" s="16" t="inlineStr">
        <is>
          <t>stretnutie</t>
        </is>
      </c>
      <c r="J24" s="16" t="n"/>
      <c r="K24" s="17" t="inlineStr">
        <is>
          <t>Pohovor 17. 8. 2026 o 11:00, Riečna 1, viedla Alexandra Pilo. 1 400 až 1 600 € brutto podľa zákona 553/2003. Ďakovný mail do 24 hodín a spojenie na LinkedIne.</t>
        </is>
      </c>
    </row>
    <row r="25">
      <c r="A25" s="16" t="inlineStr">
        <is>
          <t>áno</t>
        </is>
      </c>
      <c r="B25" s="17" t="inlineStr">
        <is>
          <t>11. 8. 2026</t>
        </is>
      </c>
      <c r="C25" s="18" t="inlineStr">
        <is>
          <t>doplniť</t>
        </is>
      </c>
      <c r="D25" s="18" t="inlineStr">
        <is>
          <t>FixDistribution s. r. o. — grafik / grafička</t>
        </is>
      </c>
      <c r="E25" s="18" t="inlineStr">
        <is>
          <t>doplniť</t>
        </is>
      </c>
      <c r="F25" s="18" t="inlineStr">
        <is>
          <t>inzerát</t>
        </is>
      </c>
      <c r="G25" s="18" t="inlineStr">
        <is>
          <t>grafické</t>
        </is>
      </c>
      <c r="H25" s="17" t="inlineStr">
        <is>
          <t>Prihláška cez Prácu za rohom</t>
        </is>
      </c>
      <c r="I25" s="16" t="inlineStr">
        <is>
          <t>čakám na odpoveď</t>
        </is>
      </c>
      <c r="J25" s="16" t="n"/>
      <c r="K25" s="17" t="inlineStr">
        <is>
          <t>Odborárska, Bratislava. 1 500 až 1 800 € brutto, plný úväzok.</t>
        </is>
      </c>
    </row>
    <row r="26">
      <c r="A26" s="16" t="inlineStr">
        <is>
          <t>áno</t>
        </is>
      </c>
      <c r="B26" s="17" t="inlineStr">
        <is>
          <t>11. 8. 2026</t>
        </is>
      </c>
      <c r="C26" s="18" t="inlineStr">
        <is>
          <t>doplniť</t>
        </is>
      </c>
      <c r="D26" s="18" t="inlineStr">
        <is>
          <t>ŠEVT a. s. — grafik / grafička</t>
        </is>
      </c>
      <c r="E26" s="18" t="inlineStr">
        <is>
          <t>doplniť</t>
        </is>
      </c>
      <c r="F26" s="18" t="inlineStr">
        <is>
          <t>inzerát</t>
        </is>
      </c>
      <c r="G26" s="18" t="inlineStr">
        <is>
          <t>grafické</t>
        </is>
      </c>
      <c r="H26" s="17" t="inlineStr">
        <is>
          <t>Prihláška cez Prácu za rohom</t>
        </is>
      </c>
      <c r="I26" s="16" t="inlineStr">
        <is>
          <t>čakám na odpoveď</t>
        </is>
      </c>
      <c r="J26" s="16" t="n"/>
      <c r="K26" s="17" t="inlineStr">
        <is>
          <t>Polus Tower 1, Vajnorská 100/A, Nové Mesto. Od 1 500 € brutto. Bez zaslaného portfólia žiadosť neakceptujú. Súčasťou výberu je zadanie.</t>
        </is>
      </c>
    </row>
    <row r="27">
      <c r="A27" s="16" t="inlineStr">
        <is>
          <t>áno</t>
        </is>
      </c>
      <c r="B27" s="17" t="inlineStr">
        <is>
          <t>14. 8. 2026</t>
        </is>
      </c>
      <c r="C27" s="18" t="inlineStr">
        <is>
          <t>doplniť</t>
        </is>
      </c>
      <c r="D27" s="18" t="inlineStr">
        <is>
          <t>Wiktor Leo Burnett — graphic designer</t>
        </is>
      </c>
      <c r="E27" s="18" t="inlineStr">
        <is>
          <t>doplniť</t>
        </is>
      </c>
      <c r="F27" s="18" t="inlineStr">
        <is>
          <t>inzerát</t>
        </is>
      </c>
      <c r="G27" s="18" t="inlineStr">
        <is>
          <t>grafické</t>
        </is>
      </c>
      <c r="H27" s="17" t="inlineStr">
        <is>
          <t>Prihláška cez Pretlak</t>
        </is>
      </c>
      <c r="I27" s="16" t="inlineStr">
        <is>
          <t>čakám na odpoveď</t>
        </is>
      </c>
      <c r="J27" s="16" t="n"/>
      <c r="K27" s="17" t="inlineStr">
        <is>
          <t>Bratislava, od 1 800 € na faktúru, teda treba živnosť. Mid seniorita, v požiadavkách 3 roky praxe v agentúre.</t>
        </is>
      </c>
    </row>
    <row r="28">
      <c r="A28" s="16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6" t="inlineStr"/>
      <c r="J28" s="16" t="inlineStr"/>
      <c r="K28" s="17" t="inlineStr"/>
    </row>
    <row r="29">
      <c r="A29" s="16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6" t="inlineStr"/>
      <c r="J29" s="16" t="inlineStr"/>
      <c r="K29" s="17" t="inlineStr"/>
    </row>
    <row r="30">
      <c r="A30" s="16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6" t="inlineStr"/>
      <c r="J30" s="16" t="inlineStr"/>
      <c r="K30" s="17" t="inlineStr"/>
    </row>
    <row r="31">
      <c r="A31" s="16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6" t="inlineStr"/>
      <c r="J31" s="16" t="inlineStr"/>
      <c r="K31" s="17" t="inlineStr"/>
    </row>
    <row r="32">
      <c r="A32" s="16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6" t="inlineStr"/>
      <c r="J32" s="16" t="inlineStr"/>
      <c r="K32" s="17" t="inlineStr"/>
    </row>
    <row r="33">
      <c r="A33" s="16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6" t="inlineStr"/>
      <c r="J33" s="16" t="inlineStr"/>
      <c r="K33" s="17" t="inlineStr"/>
    </row>
    <row r="34">
      <c r="A34" s="16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6" t="inlineStr"/>
      <c r="J34" s="16" t="inlineStr"/>
      <c r="K34" s="17" t="inlineStr"/>
    </row>
    <row r="35">
      <c r="A35" s="16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6" t="inlineStr"/>
      <c r="J35" s="16" t="inlineStr"/>
      <c r="K35" s="17" t="inlineStr"/>
    </row>
    <row r="36">
      <c r="A36" s="16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6" t="inlineStr"/>
      <c r="J36" s="16" t="inlineStr"/>
      <c r="K36" s="17" t="inlineStr"/>
    </row>
    <row r="37">
      <c r="A37" s="16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6" t="inlineStr"/>
      <c r="J37" s="16" t="inlineStr"/>
      <c r="K37" s="17" t="inlineStr"/>
    </row>
    <row r="38">
      <c r="A38" s="16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6" t="inlineStr"/>
      <c r="J38" s="16" t="inlineStr"/>
      <c r="K38" s="17" t="inlineStr"/>
    </row>
    <row r="39">
      <c r="A39" s="16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6" t="inlineStr"/>
      <c r="J39" s="16" t="inlineStr"/>
      <c r="K39" s="17" t="inlineStr"/>
    </row>
    <row r="40">
      <c r="A40" s="16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6" t="inlineStr"/>
      <c r="J40" s="16" t="inlineStr"/>
      <c r="K40" s="17" t="inlineStr"/>
    </row>
    <row r="41">
      <c r="A41" s="16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6" t="inlineStr"/>
      <c r="J41" s="16" t="inlineStr"/>
      <c r="K41" s="17" t="inlineStr"/>
    </row>
    <row r="42">
      <c r="A42" s="16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6" t="inlineStr"/>
      <c r="J42" s="16" t="inlineStr"/>
      <c r="K42" s="17" t="inlineStr"/>
    </row>
    <row r="43">
      <c r="A43" s="16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6" t="inlineStr"/>
      <c r="J43" s="16" t="inlineStr"/>
      <c r="K43" s="17" t="inlineStr"/>
    </row>
    <row r="44">
      <c r="A44" s="16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6" t="inlineStr"/>
      <c r="J44" s="16" t="inlineStr"/>
      <c r="K44" s="17" t="inlineStr"/>
    </row>
    <row r="45">
      <c r="A45" s="16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6" t="inlineStr"/>
      <c r="J45" s="16" t="inlineStr"/>
      <c r="K45" s="17" t="inlineStr"/>
    </row>
    <row r="46">
      <c r="A46" s="16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6" t="inlineStr"/>
      <c r="J46" s="16" t="inlineStr"/>
      <c r="K46" s="17" t="inlineStr"/>
    </row>
    <row r="47">
      <c r="A47" s="16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6" t="inlineStr"/>
      <c r="J47" s="16" t="inlineStr"/>
      <c r="K47" s="17" t="inlineStr"/>
    </row>
    <row r="48">
      <c r="A48" s="16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6" t="inlineStr"/>
      <c r="J48" s="16" t="inlineStr"/>
      <c r="K48" s="17" t="inlineStr"/>
    </row>
    <row r="49">
      <c r="A49" s="16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6" t="inlineStr"/>
      <c r="J49" s="16" t="inlineStr"/>
      <c r="K49" s="17" t="inlineStr"/>
    </row>
    <row r="50">
      <c r="A50" s="16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6" t="inlineStr"/>
      <c r="J50" s="16" t="inlineStr"/>
      <c r="K50" s="17" t="inlineStr"/>
    </row>
    <row r="51">
      <c r="A51" s="16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6" t="inlineStr"/>
      <c r="J51" s="16" t="inlineStr"/>
      <c r="K51" s="17" t="inlineStr"/>
    </row>
    <row r="52">
      <c r="A52" s="16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6" t="inlineStr"/>
      <c r="J52" s="16" t="inlineStr"/>
      <c r="K52" s="17" t="inlineStr"/>
    </row>
    <row r="53">
      <c r="A53" s="16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6" t="inlineStr"/>
      <c r="J53" s="16" t="inlineStr"/>
      <c r="K53" s="17" t="inlineStr"/>
    </row>
    <row r="54">
      <c r="A54" s="16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6" t="inlineStr"/>
      <c r="J54" s="16" t="inlineStr"/>
      <c r="K54" s="17" t="inlineStr"/>
    </row>
    <row r="55">
      <c r="A55" s="16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6" t="inlineStr"/>
      <c r="J55" s="16" t="inlineStr"/>
      <c r="K55" s="17" t="inlineStr"/>
    </row>
  </sheetData>
  <mergeCells count="3">
    <mergeCell ref="A2:K2"/>
    <mergeCell ref="A1:K1"/>
    <mergeCell ref="A3:K3"/>
  </mergeCells>
  <conditionalFormatting sqref="A6:A55">
    <cfRule type="expression" priority="1" dxfId="0">
      <formula>$A6="áno"</formula>
    </cfRule>
  </conditionalFormatting>
  <conditionalFormatting sqref="I6:I55">
    <cfRule type="expression" priority="2" dxfId="0">
      <formula>$I6="odpísali"</formula>
    </cfRule>
    <cfRule type="expression" priority="3" dxfId="0">
      <formula>$I6="stretnutie"</formula>
    </cfRule>
    <cfRule type="expression" priority="4" dxfId="1">
      <formula>$I6="odmietli"</formula>
    </cfRule>
    <cfRule type="expression" priority="5" dxfId="2">
      <formula>$I6="čakám na odpoveď"</formula>
    </cfRule>
  </conditionalFormatting>
  <conditionalFormatting sqref="C6:H55">
    <cfRule type="expression" priority="6" dxfId="3">
      <formula>$A6&lt;&gt;"áno"</formula>
    </cfRule>
  </conditionalFormatting>
  <dataValidations count="5">
    <dataValidation sqref="A6:A55" showDropDown="0" showInputMessage="0" showErrorMessage="0" allowBlank="1" type="list">
      <formula1>"áno"</formula1>
    </dataValidation>
    <dataValidation sqref="F6:F55" showDropDown="0" showInputMessage="0" showErrorMessage="0" allowBlank="1" type="list">
      <formula1>"Re-RO,cez známeho,studené,inzerát"</formula1>
    </dataValidation>
    <dataValidation sqref="G6:G55" showDropDown="0" showInputMessage="0" showErrorMessage="0" allowBlank="1" type="list">
      <formula1>"knižné,grafické"</formula1>
    </dataValidation>
    <dataValidation sqref="I6:I55" showDropDown="0" showInputMessage="0" showErrorMessage="0" allowBlank="1" type="list">
      <formula1>"čakám na odpoveď,odpísali,odmietli,stretnutie"</formula1>
    </dataValidation>
    <dataValidation sqref="J6:J55" showDropDown="0" showInputMessage="0" showErrorMessage="0" allowBlank="1" type="list">
      <formula1>"áno"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Prehľad</t>
        </is>
      </c>
    </row>
    <row r="2">
      <c r="A2" s="2" t="inlineStr">
        <is>
          <t>Počíta sa samo z hárku Oslovenia. Nič sem nepíš.</t>
        </is>
      </c>
    </row>
    <row r="3">
      <c r="A3" s="6" t="inlineStr">
        <is>
          <t>Napísala som</t>
        </is>
      </c>
      <c r="B3" s="12">
        <f>COUNTIF(Oslovenia!$A$6:$A$55,"áno")</f>
        <v/>
      </c>
    </row>
    <row r="4">
      <c r="A4" s="6" t="inlineStr">
        <is>
          <t>Odpísali</t>
        </is>
      </c>
      <c r="B4" s="12">
        <f>SUMPRODUCT((Oslovenia!$A$6:$A$55="áno")*((Oslovenia!$I$6:$I$55="odpísali")+(Oslovenia!$I$6:$I$55="stretnutie")))</f>
        <v/>
      </c>
    </row>
    <row r="5">
      <c r="A5" s="6" t="inlineStr">
        <is>
          <t>Odmietli</t>
        </is>
      </c>
      <c r="B5" s="12">
        <f>SUMPRODUCT((Oslovenia!$A$6:$A$55="áno")*(Oslovenia!$I$6:$I$55="odmietli"))</f>
        <v/>
      </c>
    </row>
    <row r="6">
      <c r="A6" s="6" t="inlineStr">
        <is>
          <t>Čakám na odpoveď</t>
        </is>
      </c>
      <c r="B6" s="12">
        <f>SUMPRODUCT((Oslovenia!$A$6:$A$55="áno")*(Oslovenia!$I$6:$I$55="čakám na odpoveď"))</f>
        <v/>
      </c>
    </row>
    <row r="7">
      <c r="A7" s="6" t="inlineStr">
        <is>
          <t>Odpoveďovosť</t>
        </is>
      </c>
      <c r="B7" s="8">
        <f>IFERROR(B4/B3,"")</f>
        <v/>
      </c>
    </row>
    <row r="9">
      <c r="A9" s="6" t="inlineStr">
        <is>
          <t>Podľa typu oslovenia</t>
        </is>
      </c>
    </row>
    <row r="10" ht="32" customHeight="1">
      <c r="A10" s="14" t="inlineStr">
        <is>
          <t>Typ</t>
        </is>
      </c>
      <c r="B10" s="15" t="inlineStr">
        <is>
          <t>Napísala</t>
        </is>
      </c>
      <c r="C10" s="15" t="inlineStr">
        <is>
          <t>Odpísali</t>
        </is>
      </c>
      <c r="D10" s="15" t="inlineStr">
        <is>
          <t>Odpoveďovosť</t>
        </is>
      </c>
    </row>
    <row r="11">
      <c r="A11" s="19" t="inlineStr">
        <is>
          <t>Re-RO</t>
        </is>
      </c>
      <c r="B11" s="20">
        <f>SUMPRODUCT((Oslovenia!$F$6:$F$55=$A11)*(Oslovenia!$A$6:$A$55="áno"))</f>
        <v/>
      </c>
      <c r="C11" s="20">
        <f>SUMPRODUCT((Oslovenia!$F$6:$F$55=$A11)*(Oslovenia!$A$6:$A$55="áno")*((Oslovenia!$I$6:$I$55="odpísali")+(Oslovenia!$I$6:$I$55="stretnutie")))</f>
        <v/>
      </c>
      <c r="D11" s="21">
        <f>IFERROR(C11/B11,"")</f>
        <v/>
      </c>
    </row>
    <row r="12">
      <c r="A12" s="19" t="inlineStr">
        <is>
          <t>cez známeho</t>
        </is>
      </c>
      <c r="B12" s="20">
        <f>SUMPRODUCT((Oslovenia!$F$6:$F$55=$A12)*(Oslovenia!$A$6:$A$55="áno"))</f>
        <v/>
      </c>
      <c r="C12" s="20">
        <f>SUMPRODUCT((Oslovenia!$F$6:$F$55=$A12)*(Oslovenia!$A$6:$A$55="áno")*((Oslovenia!$I$6:$I$55="odpísali")+(Oslovenia!$I$6:$I$55="stretnutie")))</f>
        <v/>
      </c>
      <c r="D12" s="21">
        <f>IFERROR(C12/B12,"")</f>
        <v/>
      </c>
    </row>
    <row r="13">
      <c r="A13" s="19" t="inlineStr">
        <is>
          <t>studené</t>
        </is>
      </c>
      <c r="B13" s="20">
        <f>SUMPRODUCT((Oslovenia!$F$6:$F$55=$A13)*(Oslovenia!$A$6:$A$55="áno"))</f>
        <v/>
      </c>
      <c r="C13" s="20">
        <f>SUMPRODUCT((Oslovenia!$F$6:$F$55=$A13)*(Oslovenia!$A$6:$A$55="áno")*((Oslovenia!$I$6:$I$55="odpísali")+(Oslovenia!$I$6:$I$55="stretnutie")))</f>
        <v/>
      </c>
      <c r="D13" s="21">
        <f>IFERROR(C13/B13,"")</f>
        <v/>
      </c>
    </row>
    <row r="14">
      <c r="A14" s="19" t="inlineStr">
        <is>
          <t>inzerát</t>
        </is>
      </c>
      <c r="B14" s="20">
        <f>SUMPRODUCT((Oslovenia!$F$6:$F$55=$A14)*(Oslovenia!$A$6:$A$55="áno"))</f>
        <v/>
      </c>
      <c r="C14" s="20">
        <f>SUMPRODUCT((Oslovenia!$F$6:$F$55=$A14)*(Oslovenia!$A$6:$A$55="áno")*((Oslovenia!$I$6:$I$55="odpísali")+(Oslovenia!$I$6:$I$55="stretnutie")))</f>
        <v/>
      </c>
      <c r="D14" s="21">
        <f>IFERROR(C14/B14,"")</f>
        <v/>
      </c>
    </row>
    <row r="16">
      <c r="A16" s="2" t="inlineStr">
        <is>
          <t>Očakávané podľa knihy: Re-RO okolo 80 %, cez známeho vysoké, studené okolo 25 %. Ak si výrazne nižšie, chyba býva v tom, že pochvala nebola konkrétna.</t>
        </is>
      </c>
    </row>
    <row r="18">
      <c r="A18" s="6" t="inlineStr">
        <is>
          <t>Metóda čiarok — cieľ 100</t>
        </is>
      </c>
    </row>
    <row r="19">
      <c r="A19" s="10" t="inlineStr">
        <is>
          <t>Hotovo</t>
        </is>
      </c>
      <c r="B19" s="12">
        <f>COUNTIF(Oslovenia!$A$6:$A$55,"áno")</f>
        <v/>
      </c>
    </row>
    <row r="20">
      <c r="A20" s="10" t="inlineStr">
        <is>
          <t>Zostáva</t>
        </is>
      </c>
      <c r="B20" s="12">
        <f>MAX(0,100-B19)</f>
        <v/>
      </c>
    </row>
  </sheetData>
  <mergeCells count="1"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32" customWidth="1" min="4" max="4"/>
    <col width="36" customWidth="1" min="5" max="5"/>
    <col width="20" customWidth="1" min="6" max="6"/>
    <col width="24" customWidth="1" min="7" max="7"/>
  </cols>
  <sheetData>
    <row r="1">
      <c r="A1" s="1" t="inlineStr">
        <is>
          <t>Adresár — overené kontakty (zisťované 27. 7. 2026)</t>
        </is>
      </c>
    </row>
    <row r="2">
      <c r="A2" s="2" t="inlineStr">
        <is>
          <t>Referenčný hárok, netreba doň písať.</t>
        </is>
      </c>
    </row>
    <row r="4" ht="30" customHeight="1">
      <c r="A4" s="3" t="inlineStr">
        <is>
          <t>Skupina</t>
        </is>
      </c>
      <c r="B4" s="3" t="inlineStr">
        <is>
          <t>Organizácia</t>
        </is>
      </c>
      <c r="C4" s="3" t="inlineStr">
        <is>
          <t>Mesto</t>
        </is>
      </c>
      <c r="D4" s="3" t="inlineStr">
        <is>
          <t>Meno a funkcia</t>
        </is>
      </c>
      <c r="E4" s="3" t="inlineStr">
        <is>
          <t>E-mail</t>
        </is>
      </c>
      <c r="F4" s="3" t="inlineStr">
        <is>
          <t>Telefón</t>
        </is>
      </c>
      <c r="G4" s="3" t="inlineStr">
        <is>
          <t>Web</t>
        </is>
      </c>
    </row>
    <row r="5">
      <c r="A5" s="5" t="inlineStr">
        <is>
          <t>Vydavateľstvo</t>
        </is>
      </c>
      <c r="B5" s="5" t="inlineStr">
        <is>
          <t>Spolok svätého Vojtecha</t>
        </is>
      </c>
      <c r="C5" s="5" t="inlineStr">
        <is>
          <t>Trnava</t>
        </is>
      </c>
      <c r="D5" s="5" t="inlineStr">
        <is>
          <t>Eva Bubnášová — šéfredaktorka</t>
        </is>
      </c>
      <c r="E5" s="5" t="inlineStr">
        <is>
          <t>sefredaktor@ssv.sk</t>
        </is>
      </c>
      <c r="F5" s="5" t="inlineStr">
        <is>
          <t>033 5907730</t>
        </is>
      </c>
      <c r="G5" s="5" t="inlineStr">
        <is>
          <t>ssv.sk</t>
        </is>
      </c>
    </row>
    <row r="6">
      <c r="A6" s="11" t="inlineStr">
        <is>
          <t>Vydavateľstvo</t>
        </is>
      </c>
      <c r="B6" s="11" t="inlineStr">
        <is>
          <t>Spolok svätého Vojtecha</t>
        </is>
      </c>
      <c r="C6" s="11" t="inlineStr">
        <is>
          <t>Trnava</t>
        </is>
      </c>
      <c r="D6" s="11" t="inlineStr">
        <is>
          <t>Martina Grochálová — riaditeľka</t>
        </is>
      </c>
      <c r="E6" s="11" t="inlineStr">
        <is>
          <t>ssv@ssv.sk</t>
        </is>
      </c>
      <c r="F6" s="11" t="inlineStr">
        <is>
          <t>033 5907711</t>
        </is>
      </c>
      <c r="G6" s="11" t="inlineStr">
        <is>
          <t>ssv.sk</t>
        </is>
      </c>
    </row>
    <row r="7">
      <c r="A7" s="5" t="inlineStr">
        <is>
          <t>Vydavateľstvo</t>
        </is>
      </c>
      <c r="B7" s="5" t="inlineStr">
        <is>
          <t>Dobrá kniha</t>
        </is>
      </c>
      <c r="C7" s="5" t="inlineStr">
        <is>
          <t>Trnava</t>
        </is>
      </c>
      <c r="D7" s="5" t="inlineStr">
        <is>
          <t>redakcia</t>
        </is>
      </c>
      <c r="E7" s="5" t="inlineStr">
        <is>
          <t>redakcia@dobrakniha.sk</t>
        </is>
      </c>
      <c r="F7" s="5" t="inlineStr">
        <is>
          <t>+421 33 5934213</t>
        </is>
      </c>
      <c r="G7" s="5" t="inlineStr">
        <is>
          <t>dobrakniha.sk</t>
        </is>
      </c>
    </row>
    <row r="8">
      <c r="A8" s="11" t="inlineStr">
        <is>
          <t>Vydavateľstvo</t>
        </is>
      </c>
      <c r="B8" s="11" t="inlineStr">
        <is>
          <t>Slovart</t>
        </is>
      </c>
      <c r="C8" s="11" t="inlineStr">
        <is>
          <t>Bratislava</t>
        </is>
      </c>
      <c r="D8" s="11" t="inlineStr">
        <is>
          <t>Michal Šajmír — výtvarná redakcia</t>
        </is>
      </c>
      <c r="E8" s="11" t="inlineStr">
        <is>
          <t>sajmir@slovart.sk</t>
        </is>
      </c>
      <c r="F8" s="11" t="inlineStr">
        <is>
          <t>+421 2 4920 1849</t>
        </is>
      </c>
      <c r="G8" s="11" t="inlineStr">
        <is>
          <t>slovart.sk</t>
        </is>
      </c>
    </row>
    <row r="9">
      <c r="A9" s="5" t="inlineStr">
        <is>
          <t>Vydavateľstvo</t>
        </is>
      </c>
      <c r="B9" s="5" t="inlineStr">
        <is>
          <t>Slovart</t>
        </is>
      </c>
      <c r="C9" s="5" t="inlineStr">
        <is>
          <t>Bratislava</t>
        </is>
      </c>
      <c r="D9" s="5" t="inlineStr">
        <is>
          <t>Agáta Petrisková — výtvarná redakcia</t>
        </is>
      </c>
      <c r="E9" s="5" t="inlineStr">
        <is>
          <t>petriskova@slovart.sk</t>
        </is>
      </c>
      <c r="F9" s="5" t="inlineStr">
        <is>
          <t>+421 2 4920 1830</t>
        </is>
      </c>
      <c r="G9" s="5" t="inlineStr">
        <is>
          <t>slovart.sk</t>
        </is>
      </c>
    </row>
    <row r="10">
      <c r="A10" s="11" t="inlineStr">
        <is>
          <t>Vydavateľstvo</t>
        </is>
      </c>
      <c r="B10" s="11" t="inlineStr">
        <is>
          <t>Slovart</t>
        </is>
      </c>
      <c r="C10" s="11" t="inlineStr">
        <is>
          <t>Bratislava</t>
        </is>
      </c>
      <c r="D10" s="11" t="inlineStr">
        <is>
          <t>Miroslava Plesníková — produkcia</t>
        </is>
      </c>
      <c r="E10" s="11" t="inlineStr">
        <is>
          <t>plesnikova@slovart.sk</t>
        </is>
      </c>
      <c r="F10" s="11" t="inlineStr">
        <is>
          <t>+421 2 4920 1831</t>
        </is>
      </c>
      <c r="G10" s="11" t="inlineStr">
        <is>
          <t>slovart.sk</t>
        </is>
      </c>
    </row>
    <row r="11">
      <c r="A11" s="5" t="inlineStr">
        <is>
          <t>Vydavateľstvo</t>
        </is>
      </c>
      <c r="B11" s="5" t="inlineStr">
        <is>
          <t>Slovart</t>
        </is>
      </c>
      <c r="C11" s="5" t="inlineStr">
        <is>
          <t>Bratislava</t>
        </is>
      </c>
      <c r="D11" s="5" t="inlineStr">
        <is>
          <t>Katarína Rossová — produkcia</t>
        </is>
      </c>
      <c r="E11" s="5" t="inlineStr">
        <is>
          <t>rossova@slovart.sk</t>
        </is>
      </c>
      <c r="F11" s="5" t="inlineStr">
        <is>
          <t>+421 2 4920 1835</t>
        </is>
      </c>
      <c r="G11" s="5" t="inlineStr">
        <is>
          <t>slovart.sk</t>
        </is>
      </c>
    </row>
    <row r="12">
      <c r="A12" s="11" t="inlineStr">
        <is>
          <t>Vydavateľstvo</t>
        </is>
      </c>
      <c r="B12" s="11" t="inlineStr">
        <is>
          <t>IKAR</t>
        </is>
      </c>
      <c r="C12" s="11" t="inlineStr">
        <is>
          <t>Bratislava</t>
        </is>
      </c>
      <c r="D12" s="11" t="inlineStr">
        <is>
          <t>redakcia</t>
        </is>
      </c>
      <c r="E12" s="11" t="inlineStr">
        <is>
          <t>redakcia@ikar.sk</t>
        </is>
      </c>
      <c r="F12" s="11" t="inlineStr">
        <is>
          <t>02/49 104 333</t>
        </is>
      </c>
      <c r="G12" s="11" t="inlineStr">
        <is>
          <t>ikar.sk</t>
        </is>
      </c>
    </row>
    <row r="13">
      <c r="A13" s="5" t="inlineStr">
        <is>
          <t>Vydavateľstvo</t>
        </is>
      </c>
      <c r="B13" s="5" t="inlineStr">
        <is>
          <t>Albatros Media Slovakia</t>
        </is>
      </c>
      <c r="C13" s="5" t="inlineStr">
        <is>
          <t>Bratislava</t>
        </is>
      </c>
      <c r="D13" s="5" t="inlineStr">
        <is>
          <t>Tatiana Ušalová — šéfredaktorka</t>
        </is>
      </c>
      <c r="E13" s="5" t="inlineStr">
        <is>
          <t>tatiana.usalova@albatrosmedia.sk</t>
        </is>
      </c>
      <c r="F13" s="5" t="inlineStr"/>
      <c r="G13" s="5" t="inlineStr">
        <is>
          <t>albatrosmedia.sk</t>
        </is>
      </c>
    </row>
    <row r="14">
      <c r="A14" s="11" t="inlineStr">
        <is>
          <t>Vydavateľstvo</t>
        </is>
      </c>
      <c r="B14" s="11" t="inlineStr">
        <is>
          <t>Albatros Media Slovakia</t>
        </is>
      </c>
      <c r="C14" s="11" t="inlineStr">
        <is>
          <t>Bratislava</t>
        </is>
      </c>
      <c r="D14" s="11" t="inlineStr">
        <is>
          <t>Sandra Friedrichová — technická redakcia</t>
        </is>
      </c>
      <c r="E14" s="11" t="inlineStr">
        <is>
          <t>sandra.friedrichova@albatrosmedia.sk</t>
        </is>
      </c>
      <c r="F14" s="11" t="inlineStr"/>
      <c r="G14" s="11" t="inlineStr">
        <is>
          <t>albatrosmedia.sk</t>
        </is>
      </c>
    </row>
    <row r="15">
      <c r="A15" s="5" t="inlineStr">
        <is>
          <t>Vydavateľstvo</t>
        </is>
      </c>
      <c r="B15" s="5" t="inlineStr">
        <is>
          <t>Orbis Pictus Istropolitana</t>
        </is>
      </c>
      <c r="C15" s="5" t="inlineStr">
        <is>
          <t>Bratislava</t>
        </is>
      </c>
      <c r="D15" s="5" t="inlineStr">
        <is>
          <t>redakcia</t>
        </is>
      </c>
      <c r="E15" s="5" t="inlineStr">
        <is>
          <t>redakcia@orbispictus.sk</t>
        </is>
      </c>
      <c r="F15" s="5" t="inlineStr">
        <is>
          <t>+421 2 501 009 10</t>
        </is>
      </c>
      <c r="G15" s="5" t="inlineStr">
        <is>
          <t>orbispictus.sk</t>
        </is>
      </c>
    </row>
    <row r="16">
      <c r="A16" s="11" t="inlineStr">
        <is>
          <t>Vydavateľstvo</t>
        </is>
      </c>
      <c r="B16" s="11" t="inlineStr">
        <is>
          <t>Marenčin PT</t>
        </is>
      </c>
      <c r="C16" s="11" t="inlineStr">
        <is>
          <t>Bratislava</t>
        </is>
      </c>
      <c r="D16" s="11" t="inlineStr"/>
      <c r="E16" s="11" t="inlineStr">
        <is>
          <t>marencin@marencin.sk</t>
        </is>
      </c>
      <c r="F16" s="11" t="inlineStr">
        <is>
          <t>+421 905 210 644</t>
        </is>
      </c>
      <c r="G16" s="11" t="inlineStr">
        <is>
          <t>marencin.sk</t>
        </is>
      </c>
    </row>
    <row r="17">
      <c r="A17" s="5" t="inlineStr">
        <is>
          <t>Vydavateľstvo</t>
        </is>
      </c>
      <c r="B17" s="5" t="inlineStr">
        <is>
          <t>Perfekt</t>
        </is>
      </c>
      <c r="C17" s="5" t="inlineStr">
        <is>
          <t>Bratislava</t>
        </is>
      </c>
      <c r="D17" s="5" t="inlineStr"/>
      <c r="E17" s="5" t="inlineStr">
        <is>
          <t>info@perfekt.sk</t>
        </is>
      </c>
      <c r="F17" s="5" t="inlineStr">
        <is>
          <t>+421 2 524 99 785</t>
        </is>
      </c>
      <c r="G17" s="5" t="inlineStr">
        <is>
          <t>perfekt.sk</t>
        </is>
      </c>
    </row>
    <row r="18">
      <c r="A18" s="11" t="inlineStr">
        <is>
          <t>Vydavateľstvo</t>
        </is>
      </c>
      <c r="B18" s="11" t="inlineStr">
        <is>
          <t>Premedia</t>
        </is>
      </c>
      <c r="C18" s="11" t="inlineStr">
        <is>
          <t>Bratislava</t>
        </is>
      </c>
      <c r="D18" s="11" t="inlineStr"/>
      <c r="E18" s="11" t="inlineStr">
        <is>
          <t>info@premedia.sk</t>
        </is>
      </c>
      <c r="F18" s="11" t="inlineStr">
        <is>
          <t>+421 948 866 627</t>
        </is>
      </c>
      <c r="G18" s="11" t="inlineStr">
        <is>
          <t>premedia.sk</t>
        </is>
      </c>
    </row>
    <row r="19">
      <c r="A19" s="5" t="inlineStr">
        <is>
          <t>Vydavateľstvo</t>
        </is>
      </c>
      <c r="B19" s="5" t="inlineStr">
        <is>
          <t>Buvik</t>
        </is>
      </c>
      <c r="C19" s="5" t="inlineStr">
        <is>
          <t>Bratislava</t>
        </is>
      </c>
      <c r="D19" s="5" t="inlineStr">
        <is>
          <t>Mária Števková — šéfredaktorka</t>
        </is>
      </c>
      <c r="E19" s="5" t="inlineStr">
        <is>
          <t>buvik@buvik.sk</t>
        </is>
      </c>
      <c r="F19" s="5" t="inlineStr"/>
      <c r="G19" s="5" t="inlineStr">
        <is>
          <t>buvik.sk</t>
        </is>
      </c>
    </row>
    <row r="20">
      <c r="A20" s="11" t="inlineStr">
        <is>
          <t>Vydavateľstvo</t>
        </is>
      </c>
      <c r="B20" s="11" t="inlineStr">
        <is>
          <t>Monokel</t>
        </is>
      </c>
      <c r="C20" s="11" t="inlineStr"/>
      <c r="D20" s="11" t="inlineStr"/>
      <c r="E20" s="11" t="inlineStr">
        <is>
          <t>monokel@monokel.ooo</t>
        </is>
      </c>
      <c r="F20" s="11" t="inlineStr">
        <is>
          <t>+421 917 535 573</t>
        </is>
      </c>
      <c r="G20" s="11" t="inlineStr">
        <is>
          <t>monokel.ooo</t>
        </is>
      </c>
    </row>
    <row r="21">
      <c r="A21" s="5" t="inlineStr">
        <is>
          <t>Vydavateľstvo</t>
        </is>
      </c>
      <c r="B21" s="5" t="inlineStr">
        <is>
          <t>TAKTIK</t>
        </is>
      </c>
      <c r="C21" s="5" t="inlineStr">
        <is>
          <t>Bratislava a Košice</t>
        </is>
      </c>
      <c r="D21" s="5" t="inlineStr"/>
      <c r="E21" s="5" t="inlineStr">
        <is>
          <t>taktik@taktik.sk</t>
        </is>
      </c>
      <c r="F21" s="5" t="inlineStr"/>
      <c r="G21" s="5" t="inlineStr">
        <is>
          <t>taktik.sk</t>
        </is>
      </c>
    </row>
    <row r="22">
      <c r="A22" s="11" t="inlineStr">
        <is>
          <t>Vydavateľstvo</t>
        </is>
      </c>
      <c r="B22" s="11" t="inlineStr">
        <is>
          <t>RAABE Slovensko</t>
        </is>
      </c>
      <c r="C22" s="11" t="inlineStr">
        <is>
          <t>Bratislava</t>
        </is>
      </c>
      <c r="D22" s="11" t="inlineStr"/>
      <c r="E22" s="11" t="inlineStr">
        <is>
          <t>raabe@raabe.sk</t>
        </is>
      </c>
      <c r="F22" s="11" t="inlineStr">
        <is>
          <t>+421 2 32 661 850</t>
        </is>
      </c>
      <c r="G22" s="11" t="inlineStr">
        <is>
          <t>raabe.sk</t>
        </is>
      </c>
    </row>
    <row r="23">
      <c r="A23" s="5" t="inlineStr">
        <is>
          <t>Vydavateľstvo</t>
        </is>
      </c>
      <c r="B23" s="5" t="inlineStr">
        <is>
          <t>Verbarium</t>
        </is>
      </c>
      <c r="C23" s="5" t="inlineStr"/>
      <c r="D23" s="5" t="inlineStr"/>
      <c r="E23" s="5" t="inlineStr">
        <is>
          <t>verbarium@verbarium.sk</t>
        </is>
      </c>
      <c r="F23" s="5" t="inlineStr">
        <is>
          <t>+421 903 458 699</t>
        </is>
      </c>
      <c r="G23" s="5" t="inlineStr">
        <is>
          <t>verbarium.sk</t>
        </is>
      </c>
    </row>
    <row r="24">
      <c r="A24" s="11" t="inlineStr">
        <is>
          <t>Vydavateľstvo</t>
        </is>
      </c>
      <c r="B24" s="11" t="inlineStr">
        <is>
          <t>Typi Universitatis Tyrnaviensis</t>
        </is>
      </c>
      <c r="C24" s="11" t="inlineStr">
        <is>
          <t>Bratislava</t>
        </is>
      </c>
      <c r="D24" s="11" t="inlineStr">
        <is>
          <t>Peter Kolník — šéfredaktor</t>
        </is>
      </c>
      <c r="E24" s="11" t="inlineStr">
        <is>
          <t>peter.kolnik@truni.sk</t>
        </is>
      </c>
      <c r="F24" s="11" t="inlineStr">
        <is>
          <t>0908 721 331</t>
        </is>
      </c>
      <c r="G24" s="11" t="inlineStr">
        <is>
          <t>truni.sk</t>
        </is>
      </c>
    </row>
    <row r="25">
      <c r="A25" s="5" t="inlineStr">
        <is>
          <t>Tlačiareň</t>
        </is>
      </c>
      <c r="B25" s="5" t="inlineStr">
        <is>
          <t>Slovenská Grafia</t>
        </is>
      </c>
      <c r="C25" s="5" t="inlineStr">
        <is>
          <t>Bratislava</t>
        </is>
      </c>
      <c r="D25" s="5" t="inlineStr">
        <is>
          <t>personálne oddelenie</t>
        </is>
      </c>
      <c r="E25" s="5" t="inlineStr">
        <is>
          <t>kariera@grafia.sk</t>
        </is>
      </c>
      <c r="F25" s="5" t="inlineStr">
        <is>
          <t>02/4949 3853</t>
        </is>
      </c>
      <c r="G25" s="5" t="inlineStr">
        <is>
          <t>grafia.sk</t>
        </is>
      </c>
    </row>
    <row r="26">
      <c r="A26" s="11" t="inlineStr">
        <is>
          <t>Tlačiareň</t>
        </is>
      </c>
      <c r="B26" s="11" t="inlineStr">
        <is>
          <t>Neografia</t>
        </is>
      </c>
      <c r="C26" s="11" t="inlineStr">
        <is>
          <t>Martin</t>
        </is>
      </c>
      <c r="D26" s="11" t="inlineStr">
        <is>
          <t>Jozef Kolesár — trvalý pomer</t>
        </is>
      </c>
      <c r="E26" s="11" t="inlineStr">
        <is>
          <t>jozef.kolesar@neografia.sk</t>
        </is>
      </c>
      <c r="F26" s="11" t="inlineStr">
        <is>
          <t>+421 918 450 434</t>
        </is>
      </c>
      <c r="G26" s="11" t="inlineStr">
        <is>
          <t>neografia.sk</t>
        </is>
      </c>
    </row>
    <row r="27">
      <c r="A27" s="5" t="inlineStr">
        <is>
          <t>Tlačiareň</t>
        </is>
      </c>
      <c r="B27" s="5" t="inlineStr">
        <is>
          <t>Neografia</t>
        </is>
      </c>
      <c r="C27" s="5" t="inlineStr">
        <is>
          <t>Martin</t>
        </is>
      </c>
      <c r="D27" s="5" t="inlineStr">
        <is>
          <t>Monika Koniarová — brigády</t>
        </is>
      </c>
      <c r="E27" s="5" t="inlineStr">
        <is>
          <t>praca@neografia.sk</t>
        </is>
      </c>
      <c r="F27" s="5" t="inlineStr">
        <is>
          <t>+421 907 826 340</t>
        </is>
      </c>
      <c r="G27" s="5" t="inlineStr">
        <is>
          <t>neografia.sk</t>
        </is>
      </c>
    </row>
    <row r="28">
      <c r="A28" s="11" t="inlineStr">
        <is>
          <t>Tlačiareň</t>
        </is>
      </c>
      <c r="B28" s="11" t="inlineStr">
        <is>
          <t>TBB</t>
        </is>
      </c>
      <c r="C28" s="11" t="inlineStr">
        <is>
          <t>Banská Bystrica</t>
        </is>
      </c>
      <c r="D28" s="11" t="inlineStr"/>
      <c r="E28" s="11" t="inlineStr"/>
      <c r="F28" s="11" t="inlineStr"/>
      <c r="G28" s="11" t="inlineStr">
        <is>
          <t>tbb.sk</t>
        </is>
      </c>
    </row>
    <row r="29">
      <c r="A29" s="5" t="inlineStr">
        <is>
          <t>Tlačiareň</t>
        </is>
      </c>
      <c r="B29" s="5" t="inlineStr">
        <is>
          <t>FaxCopy</t>
        </is>
      </c>
      <c r="C29" s="5" t="inlineStr">
        <is>
          <t>Bratislava</t>
        </is>
      </c>
      <c r="D29" s="5" t="inlineStr">
        <is>
          <t>hlásiť sa cez Profesiu</t>
        </is>
      </c>
      <c r="E29" s="5" t="inlineStr"/>
      <c r="F29" s="5" t="inlineStr"/>
      <c r="G29" s="5" t="inlineStr">
        <is>
          <t>faxcopy.sk</t>
        </is>
      </c>
    </row>
    <row r="30">
      <c r="A30" s="11" t="inlineStr">
        <is>
          <t>Tlačiareň</t>
        </is>
      </c>
      <c r="B30" s="11" t="inlineStr">
        <is>
          <t>REMPrint</t>
        </is>
      </c>
      <c r="C30" s="11" t="inlineStr">
        <is>
          <t>Bratislava</t>
        </is>
      </c>
      <c r="D30" s="11" t="inlineStr"/>
      <c r="E30" s="11" t="inlineStr">
        <is>
          <t>office@remprint.sk</t>
        </is>
      </c>
      <c r="F30" s="11" t="inlineStr">
        <is>
          <t>+421 2 3217 9510</t>
        </is>
      </c>
      <c r="G30" s="11" t="inlineStr">
        <is>
          <t>remprint.sk</t>
        </is>
      </c>
    </row>
    <row r="31">
      <c r="A31" s="5" t="inlineStr">
        <is>
          <t>Tlačiareň</t>
        </is>
      </c>
      <c r="B31" s="5" t="inlineStr">
        <is>
          <t>SmartPrint</t>
        </is>
      </c>
      <c r="C31" s="5" t="inlineStr">
        <is>
          <t>Bratislava, Trnava</t>
        </is>
      </c>
      <c r="D31" s="5" t="inlineStr"/>
      <c r="E31" s="5" t="inlineStr"/>
      <c r="F31" s="5" t="inlineStr"/>
      <c r="G31" s="5" t="inlineStr">
        <is>
          <t>smart-print.sk</t>
        </is>
      </c>
    </row>
    <row r="32">
      <c r="A32" s="11" t="inlineStr">
        <is>
          <t>Kníhkupectvo</t>
        </is>
      </c>
      <c r="B32" s="11" t="inlineStr">
        <is>
          <t>Martinus</t>
        </is>
      </c>
      <c r="C32" s="11" t="inlineStr">
        <is>
          <t>Martin a Bratislava</t>
        </is>
      </c>
      <c r="D32" s="11" t="inlineStr">
        <is>
          <t>cez Profesiu</t>
        </is>
      </c>
      <c r="E32" s="11" t="inlineStr"/>
      <c r="F32" s="11" t="inlineStr"/>
      <c r="G32" s="11" t="inlineStr">
        <is>
          <t>martinus.sk</t>
        </is>
      </c>
    </row>
    <row r="33">
      <c r="A33" s="5" t="inlineStr">
        <is>
          <t>Kníhkupectvo</t>
        </is>
      </c>
      <c r="B33" s="5" t="inlineStr">
        <is>
          <t>Panta Rhei</t>
        </is>
      </c>
      <c r="C33" s="5" t="inlineStr">
        <is>
          <t>Bratislava</t>
        </is>
      </c>
      <c r="D33" s="5" t="inlineStr"/>
      <c r="E33" s="5" t="inlineStr"/>
      <c r="F33" s="5" t="inlineStr"/>
      <c r="G33" s="5" t="inlineStr">
        <is>
          <t>pantarhei.sk/kariera</t>
        </is>
      </c>
    </row>
    <row r="34">
      <c r="A34" s="11" t="inlineStr">
        <is>
          <t>Kníhkupectvo</t>
        </is>
      </c>
      <c r="B34" s="11" t="inlineStr">
        <is>
          <t>Artforum</t>
        </is>
      </c>
      <c r="C34" s="11" t="inlineStr">
        <is>
          <t>Bratislava</t>
        </is>
      </c>
      <c r="D34" s="11" t="inlineStr">
        <is>
          <t>internetové kníhkupectvo</t>
        </is>
      </c>
      <c r="E34" s="11" t="inlineStr">
        <is>
          <t>istore@artforum.sk</t>
        </is>
      </c>
      <c r="F34" s="11" t="inlineStr">
        <is>
          <t>+421 948 161 216</t>
        </is>
      </c>
      <c r="G34" s="11" t="inlineStr">
        <is>
          <t>artforum.sk</t>
        </is>
      </c>
    </row>
    <row r="35">
      <c r="A35" s="5" t="inlineStr">
        <is>
          <t>Inštitúcia</t>
        </is>
      </c>
      <c r="B35" s="5" t="inlineStr">
        <is>
          <t>BIBIANA</t>
        </is>
      </c>
      <c r="C35" s="5" t="inlineStr">
        <is>
          <t>Bratislava</t>
        </is>
      </c>
      <c r="D35" s="5" t="inlineStr">
        <is>
          <t>výstavy a katalógy</t>
        </is>
      </c>
      <c r="E35" s="5" t="inlineStr">
        <is>
          <t>realizacia@bibiana.sk</t>
        </is>
      </c>
      <c r="F35" s="5" t="inlineStr">
        <is>
          <t>+421 2 20 467 111</t>
        </is>
      </c>
      <c r="G35" s="5" t="inlineStr">
        <is>
          <t>bibiana.sk</t>
        </is>
      </c>
    </row>
    <row r="36">
      <c r="A36" s="11" t="inlineStr">
        <is>
          <t>Inštitúcia</t>
        </is>
      </c>
      <c r="B36" s="11" t="inlineStr">
        <is>
          <t>Literárne informačné centrum</t>
        </is>
      </c>
      <c r="C36" s="11" t="inlineStr">
        <is>
          <t>Bratislava</t>
        </is>
      </c>
      <c r="D36" s="11" t="inlineStr"/>
      <c r="E36" s="11" t="inlineStr"/>
      <c r="F36" s="11" t="inlineStr"/>
      <c r="G36" s="11" t="inlineStr">
        <is>
          <t>litcentrum.sk</t>
        </is>
      </c>
    </row>
    <row r="37">
      <c r="A37" s="5" t="inlineStr">
        <is>
          <t>Inštitúcia</t>
        </is>
      </c>
      <c r="B37" s="5" t="inlineStr">
        <is>
          <t>Vydavateľstvo UCM</t>
        </is>
      </c>
      <c r="C37" s="5" t="inlineStr">
        <is>
          <t>Trnava</t>
        </is>
      </c>
      <c r="D37" s="5" t="inlineStr"/>
      <c r="E37" s="5" t="inlineStr">
        <is>
          <t>info@ucm.sk</t>
        </is>
      </c>
      <c r="F37" s="5" t="inlineStr">
        <is>
          <t>033 5565 111</t>
        </is>
      </c>
      <c r="G37" s="5" t="inlineStr">
        <is>
          <t>ucm.sk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8" customWidth="1" min="4" max="4"/>
    <col width="42" customWidth="1" min="5" max="5"/>
    <col width="13" customWidth="1" min="6" max="6"/>
    <col width="13" customWidth="1" min="7" max="7"/>
    <col width="34" customWidth="1" min="8" max="8"/>
    <col width="24" customWidth="1" min="9" max="9"/>
    <col width="30" customWidth="1" min="10" max="10"/>
  </cols>
  <sheetData>
    <row r="1">
      <c r="A1" s="1" t="inlineStr">
        <is>
          <t>Inzeráty — kanál 1</t>
        </is>
      </c>
    </row>
    <row r="2" ht="46" customHeight="1">
      <c r="A2" s="22" t="inlineStr">
        <is>
          <t>Stav k 27. 7. 2026, over si ich. Na inzerát sa hlásia desiatky ľudí a rozhoduje rýchlosť: hláste sa v ten deň, keď inzerát nájdeš. Prikladá sa CV a portfólio. Inzerát si vždy ulož ako PDF hneď pri prihlásení, o mesiac už na webe nebude a bez neho nemáš čo doložiť úradu práce.</t>
        </is>
      </c>
    </row>
    <row r="4" ht="30" customHeight="1">
      <c r="A4" s="3" t="inlineStr">
        <is>
          <t>Pozícia</t>
        </is>
      </c>
      <c r="B4" s="3" t="inlineStr">
        <is>
          <t>Firma</t>
        </is>
      </c>
      <c r="C4" s="3" t="inlineStr">
        <is>
          <t>Miesto</t>
        </is>
      </c>
      <c r="D4" s="3" t="inlineStr">
        <is>
          <t>Mzda</t>
        </is>
      </c>
      <c r="E4" s="3" t="inlineStr">
        <is>
          <t>Prečo sedí</t>
        </is>
      </c>
      <c r="F4" s="3" t="inlineStr">
        <is>
          <t>Prihlásená?</t>
        </is>
      </c>
      <c r="G4" s="3" t="inlineStr">
        <is>
          <t>Dátum</t>
        </is>
      </c>
      <c r="H4" s="3" t="inlineStr">
        <is>
          <t>Odkaz na inzerát</t>
        </is>
      </c>
      <c r="I4" s="3" t="inlineStr">
        <is>
          <t>Ako som sa prihlásila</t>
        </is>
      </c>
      <c r="J4" s="3" t="inlineStr">
        <is>
          <t>Doklad pre úrad práce</t>
        </is>
      </c>
    </row>
    <row r="5">
      <c r="A5" s="5" t="inlineStr">
        <is>
          <t>Grafik s DTP zručnosťami</t>
        </is>
      </c>
      <c r="B5" s="5" t="inlineStr">
        <is>
          <t>FaxCopy</t>
        </is>
      </c>
      <c r="C5" s="5" t="inlineStr">
        <is>
          <t>Bratislava</t>
        </is>
      </c>
      <c r="D5" s="5" t="inlineStr">
        <is>
          <t>1 300 – 1 500 €</t>
        </is>
      </c>
      <c r="E5" s="5" t="inlineStr">
        <is>
          <t>DTP a príprava do tlače, presne tvoja priemyslovka. Overené 18. 8., inzerát stále beží a v texte píšu, že nemusíš byť profík.</t>
        </is>
      </c>
      <c r="F5" s="4" t="n"/>
      <c r="G5" s="4" t="n"/>
      <c r="H5" s="23" t="inlineStr">
        <is>
          <t>pracazarohom.sk/dl/jd/PROF-6a4718b0-822d-4a57-9545-17e78e63c442</t>
        </is>
      </c>
      <c r="I5" s="23" t="n"/>
      <c r="J5" s="23" t="n"/>
    </row>
    <row r="6">
      <c r="A6" s="5" t="inlineStr">
        <is>
          <t>Creative Document Specialist</t>
        </is>
      </c>
      <c r="B6" s="5" t="inlineStr">
        <is>
          <t>Freshfields</t>
        </is>
      </c>
      <c r="C6" s="5" t="inlineStr">
        <is>
          <t>Bratislava</t>
        </is>
      </c>
      <c r="D6" s="5" t="inlineStr">
        <is>
          <t>1 600 €</t>
        </is>
      </c>
      <c r="E6" s="5" t="inlineStr">
        <is>
          <t>Sadzba dlhých dokumentov v InDesigne. Overené 18. 8., beží na ich vlastnom kariérnom webe. 4 dni práca, 4 dni voľno, 32 hodín týždenne.</t>
        </is>
      </c>
      <c r="F6" s="4" t="n"/>
      <c r="G6" s="4" t="n"/>
      <c r="H6" s="23" t="inlineStr">
        <is>
          <t>freshfields.wd3.myworkdayjobs.com, pozícia R-06803-1</t>
        </is>
      </c>
      <c r="I6" s="23" t="n"/>
      <c r="J6" s="23" t="n"/>
    </row>
    <row r="7">
      <c r="A7" s="5" t="inlineStr">
        <is>
          <t>Grafik / grafička</t>
        </is>
      </c>
      <c r="B7" s="5" t="inlineStr">
        <is>
          <t>FixDistribution</t>
        </is>
      </c>
      <c r="C7" s="5" t="inlineStr">
        <is>
          <t>Bratislava</t>
        </is>
      </c>
      <c r="D7" s="5" t="inlineStr">
        <is>
          <t>1 500 – 1 800 €</t>
        </is>
      </c>
      <c r="E7" s="5" t="inlineStr">
        <is>
          <t>Bežná grafika, dobrá mzda</t>
        </is>
      </c>
      <c r="F7" s="4" t="inlineStr">
        <is>
          <t>áno</t>
        </is>
      </c>
      <c r="G7" s="4" t="inlineStr">
        <is>
          <t>11. 8. 2026</t>
        </is>
      </c>
      <c r="H7" s="23" t="inlineStr">
        <is>
          <t>pracazarohom.sk</t>
        </is>
      </c>
      <c r="I7" s="23" t="inlineStr">
        <is>
          <t>Cez Prácu za rohom</t>
        </is>
      </c>
      <c r="J7" s="23" t="inlineStr">
        <is>
          <t>PDF inzerátu + potvrdenie o prihlásení z Práce za rohom</t>
        </is>
      </c>
    </row>
    <row r="8">
      <c r="A8" s="5" t="inlineStr">
        <is>
          <t>Graphic Designer</t>
        </is>
      </c>
      <c r="B8" s="5" t="inlineStr">
        <is>
          <t>Kempelenov inštitút</t>
        </is>
      </c>
      <c r="C8" s="5" t="inlineStr">
        <is>
          <t>Bratislava</t>
        </is>
      </c>
      <c r="D8" s="5" t="inlineStr">
        <is>
          <t>1 800 €</t>
        </is>
      </c>
      <c r="E8" s="5" t="inlineStr">
        <is>
          <t>Publikácie a vizuály výskumného inštitútu. Odmietnutie.</t>
        </is>
      </c>
      <c r="F8" s="4" t="inlineStr">
        <is>
          <t>áno</t>
        </is>
      </c>
      <c r="G8" s="4" t="inlineStr">
        <is>
          <t>1. 8. 2026</t>
        </is>
      </c>
      <c r="H8" s="23" t="inlineStr">
        <is>
          <t>profesia.sk</t>
        </is>
      </c>
      <c r="I8" s="23" t="inlineStr">
        <is>
          <t>Cez Profesiu</t>
        </is>
      </c>
      <c r="J8" s="23" t="inlineStr">
        <is>
          <t>PDF inzerátu + e-mail s odmietnutím</t>
        </is>
      </c>
    </row>
    <row r="9">
      <c r="A9" s="5" t="inlineStr">
        <is>
          <t>Reprodukčný grafik</t>
        </is>
      </c>
      <c r="B9" s="5" t="inlineStr">
        <is>
          <t>TBB</t>
        </is>
      </c>
      <c r="C9" s="5" t="inlineStr">
        <is>
          <t>Banská Bystrica</t>
        </is>
      </c>
      <c r="D9" s="5" t="inlineStr">
        <is>
          <t>od 7,04 €/hod</t>
        </is>
      </c>
      <c r="E9" s="5" t="inlineStr">
        <is>
          <t>Kníhtlačiareň, obsahovo ideálne, geograficky ďaleko</t>
        </is>
      </c>
      <c r="F9" s="4" t="n"/>
      <c r="G9" s="4" t="n"/>
      <c r="H9" s="23" t="n"/>
      <c r="I9" s="23" t="n"/>
      <c r="J9" s="23" t="n"/>
    </row>
    <row r="10">
      <c r="A10" s="5" t="inlineStr">
        <is>
          <t>Grafik s DTP zručnosťami</t>
        </is>
      </c>
      <c r="B10" s="5" t="inlineStr">
        <is>
          <t>FaxCopy</t>
        </is>
      </c>
      <c r="C10" s="5" t="inlineStr">
        <is>
          <t>Nové Mesto n. Váhom</t>
        </is>
      </c>
      <c r="D10" s="5" t="inlineStr">
        <is>
          <t>1 070 – 1 250 €</t>
        </is>
      </c>
      <c r="E10" s="5" t="inlineStr">
        <is>
          <t>To isté bližšie k Trnave, horšie platené</t>
        </is>
      </c>
      <c r="F10" s="4" t="n"/>
      <c r="G10" s="4" t="n"/>
      <c r="H10" s="23" t="n"/>
      <c r="I10" s="23" t="n"/>
      <c r="J10" s="23" t="n"/>
    </row>
    <row r="11">
      <c r="A11" s="5" t="inlineStr">
        <is>
          <t>Grafik DTP / DTP operátor</t>
        </is>
      </c>
      <c r="B11" s="5" t="inlineStr">
        <is>
          <t>MaxPress</t>
        </is>
      </c>
      <c r="C11" s="5" t="inlineStr">
        <is>
          <t>Nové Zámky</t>
        </is>
      </c>
      <c r="D11" s="5" t="inlineStr">
        <is>
          <t>1 100 – 2 200 €</t>
        </is>
      </c>
      <c r="E11" s="5" t="inlineStr">
        <is>
          <t>Tlačiareň, široké rozpätie</t>
        </is>
      </c>
      <c r="F11" s="4" t="n"/>
      <c r="G11" s="4" t="n"/>
      <c r="H11" s="23" t="n"/>
      <c r="I11" s="23" t="n"/>
      <c r="J11" s="23" t="n"/>
    </row>
    <row r="12">
      <c r="A12" s="5" t="inlineStr">
        <is>
          <t>Mid/Senior Graphic Designer</t>
        </is>
      </c>
      <c r="B12" s="5" t="inlineStr">
        <is>
          <t>High5</t>
        </is>
      </c>
      <c r="C12" s="5" t="inlineStr">
        <is>
          <t>Bratislava</t>
        </is>
      </c>
      <c r="D12" s="5" t="inlineStr">
        <is>
          <t>od 1 800 €</t>
        </is>
      </c>
      <c r="E12" s="5" t="inlineStr">
        <is>
          <t>Agentúra, print aj online, ideamaking</t>
        </is>
      </c>
      <c r="F12" s="4" t="inlineStr">
        <is>
          <t>áno</t>
        </is>
      </c>
      <c r="G12" s="4" t="inlineStr">
        <is>
          <t>4. 8. 2026</t>
        </is>
      </c>
      <c r="H12" s="23" t="inlineStr">
        <is>
          <t>pretlak.com</t>
        </is>
      </c>
      <c r="I12" s="23" t="inlineStr">
        <is>
          <t>Cez Pretlak</t>
        </is>
      </c>
      <c r="J12" s="23" t="inlineStr">
        <is>
          <t>PDF inzerátu + e-mail s odmietnutím</t>
        </is>
      </c>
    </row>
    <row r="13">
      <c r="A13" s="5" t="inlineStr">
        <is>
          <t>Junior grafik a DTP operátor</t>
        </is>
      </c>
      <c r="B13" s="5" t="inlineStr">
        <is>
          <t>Slovenská národná galéria</t>
        </is>
      </c>
      <c r="C13" s="5" t="inlineStr">
        <is>
          <t>Bratislava</t>
        </is>
      </c>
      <c r="D13" s="5" t="inlineStr">
        <is>
          <t>1 400 – 1 600 €</t>
        </is>
      </c>
      <c r="E13" s="5" t="inlineStr">
        <is>
          <t>DTP a sadzba, navigačné systémy v priestore, tlačoviny k výstavám</t>
        </is>
      </c>
      <c r="F13" s="4" t="inlineStr">
        <is>
          <t>áno</t>
        </is>
      </c>
      <c r="G13" s="4" t="inlineStr">
        <is>
          <t>11. 8. 2026</t>
        </is>
      </c>
      <c r="H13" s="23" t="inlineStr">
        <is>
          <t>profesia.sk</t>
        </is>
      </c>
      <c r="I13" s="23" t="inlineStr">
        <is>
          <t>Cez Profesiu a mail na kariera@sng.sk</t>
        </is>
      </c>
      <c r="J13" s="23" t="inlineStr">
        <is>
          <t>PDF inzerátu + potvrdenie z Profesie + odoslaný mail na kariera@sng.sk</t>
        </is>
      </c>
    </row>
    <row r="14">
      <c r="A14" s="5" t="inlineStr">
        <is>
          <t>Externý grafik</t>
        </is>
      </c>
      <c r="B14" s="5" t="inlineStr">
        <is>
          <t>Expresta</t>
        </is>
      </c>
      <c r="C14" s="5" t="inlineStr">
        <is>
          <t>Bratislava, práca z domu</t>
        </is>
      </c>
      <c r="D14" s="5" t="inlineStr">
        <is>
          <t>500 – 2 500 €</t>
        </is>
      </c>
      <c r="E14" s="5" t="inlineStr">
        <is>
          <t>Príprava grafiky pre tlačoviny, na živnosť</t>
        </is>
      </c>
      <c r="F14" s="4" t="inlineStr">
        <is>
          <t>áno</t>
        </is>
      </c>
      <c r="G14" s="4" t="inlineStr">
        <is>
          <t>4. 8. 2026</t>
        </is>
      </c>
      <c r="H14" s="23" t="inlineStr">
        <is>
          <t>profesia.sk</t>
        </is>
      </c>
      <c r="I14" s="23" t="inlineStr">
        <is>
          <t>Cez Profesiu</t>
        </is>
      </c>
      <c r="J14" s="23" t="inlineStr">
        <is>
          <t>PDF inzerátu + potvrdzujúci e-mail z Profesie</t>
        </is>
      </c>
    </row>
    <row r="15">
      <c r="A15" s="5" t="inlineStr">
        <is>
          <t>Grafik / grafička</t>
        </is>
      </c>
      <c r="B15" s="5" t="inlineStr">
        <is>
          <t>ŠEVT a. s.</t>
        </is>
      </c>
      <c r="C15" s="5" t="inlineStr">
        <is>
          <t>Bratislava, Vajnorská 100/A</t>
        </is>
      </c>
      <c r="D15" s="5" t="inlineStr">
        <is>
          <t>od 1 500 €</t>
        </is>
      </c>
      <c r="E15" s="5" t="inlineStr">
        <is>
          <t>Kontrola a príprava podkladov do tlače, print aj online</t>
        </is>
      </c>
      <c r="F15" s="4" t="inlineStr">
        <is>
          <t>áno</t>
        </is>
      </c>
      <c r="G15" s="4" t="inlineStr">
        <is>
          <t>11. 8. 2026</t>
        </is>
      </c>
      <c r="H15" s="23" t="inlineStr">
        <is>
          <t>pracazarohom.sk</t>
        </is>
      </c>
      <c r="I15" s="23" t="inlineStr">
        <is>
          <t>Cez Prácu za rohom</t>
        </is>
      </c>
      <c r="J15" s="23" t="inlineStr">
        <is>
          <t>PDF inzerátu + potvrdenie o prihlásení z Práce za rohom</t>
        </is>
      </c>
    </row>
    <row r="16">
      <c r="A16" s="5" t="inlineStr">
        <is>
          <t>Graphic Designer</t>
        </is>
      </c>
      <c r="B16" s="5" t="inlineStr">
        <is>
          <t>Wiktor Leo Burnett</t>
        </is>
      </c>
      <c r="C16" s="5" t="inlineStr">
        <is>
          <t>Bratislava</t>
        </is>
      </c>
      <c r="D16" s="5" t="inlineStr">
        <is>
          <t>od 1 800 €, faktúra</t>
        </is>
      </c>
      <c r="E16" s="5" t="inlineStr">
        <is>
          <t>Agentúra, print aj online, ideamaking</t>
        </is>
      </c>
      <c r="F16" s="4" t="inlineStr">
        <is>
          <t>áno</t>
        </is>
      </c>
      <c r="G16" s="4" t="inlineStr">
        <is>
          <t>14. 8. 2026</t>
        </is>
      </c>
      <c r="H16" s="23" t="inlineStr">
        <is>
          <t>pretlak.com</t>
        </is>
      </c>
      <c r="I16" s="23" t="inlineStr">
        <is>
          <t>Cez Pretlak</t>
        </is>
      </c>
      <c r="J16" s="23" t="inlineStr">
        <is>
          <t>PDF inzerátu + odoslaný e-mail z Odoslanej pošty</t>
        </is>
      </c>
    </row>
    <row r="17">
      <c r="A17" s="5" t="inlineStr">
        <is>
          <t>Mid / senior grafický dizajnér</t>
        </is>
      </c>
      <c r="B17" s="5" t="inlineStr">
        <is>
          <t>Barux s. r. o.</t>
        </is>
      </c>
      <c r="C17" s="5" t="inlineStr">
        <is>
          <t>Bratislava</t>
        </is>
      </c>
      <c r="D17" s="5" t="inlineStr">
        <is>
          <t>1 900 €</t>
        </is>
      </c>
      <c r="E17" s="5" t="inlineStr">
        <is>
          <t>Kreatívne grafické štúdio</t>
        </is>
      </c>
      <c r="F17" s="4" t="inlineStr">
        <is>
          <t>áno</t>
        </is>
      </c>
      <c r="G17" s="4" t="inlineStr">
        <is>
          <t>14. 9. 2026</t>
        </is>
      </c>
      <c r="H17" s="23" t="inlineStr">
        <is>
          <t>profesia.sk</t>
        </is>
      </c>
      <c r="I17" s="23" t="inlineStr">
        <is>
          <t>Cez Profesiu</t>
        </is>
      </c>
      <c r="J17" s="23" t="inlineStr">
        <is>
          <t>PDF inzerátu + potvrdzujúci e-mail z Profesie</t>
        </is>
      </c>
    </row>
    <row r="18">
      <c r="A18" s="5" t="inlineStr">
        <is>
          <t>Art Director</t>
        </is>
      </c>
      <c r="B18" s="5" t="inlineStr">
        <is>
          <t>Istropolitana Ogilvy</t>
        </is>
      </c>
      <c r="C18" s="5" t="inlineStr">
        <is>
          <t>Bratislava</t>
        </is>
      </c>
      <c r="D18" s="5" t="inlineStr">
        <is>
          <t>od 2 000 €</t>
        </is>
      </c>
      <c r="E18" s="5" t="inlineStr">
        <is>
          <t>Kreatívna reklamná agentúra</t>
        </is>
      </c>
      <c r="F18" s="4" t="inlineStr">
        <is>
          <t>áno</t>
        </is>
      </c>
      <c r="G18" s="4" t="inlineStr">
        <is>
          <t>14. 9. 2026</t>
        </is>
      </c>
      <c r="H18" s="23" t="inlineStr">
        <is>
          <t>pretlak.com</t>
        </is>
      </c>
      <c r="I18" s="23" t="inlineStr">
        <is>
          <t>Cez Pretlak</t>
        </is>
      </c>
      <c r="J18" s="23" t="inlineStr">
        <is>
          <t>PDF inzerátu + odoslaný e-mail z Odoslanej pošty</t>
        </is>
      </c>
    </row>
    <row r="19">
      <c r="A19" s="5" t="inlineStr">
        <is>
          <t>Grafický dizajnér mid/senior</t>
        </is>
      </c>
      <c r="B19" s="5" t="inlineStr">
        <is>
          <t>LIČI Advertising</t>
        </is>
      </c>
      <c r="C19" s="5" t="inlineStr">
        <is>
          <t>Bratislava, Ružinov</t>
        </is>
      </c>
      <c r="D19" s="5" t="inlineStr">
        <is>
          <t>od 2 000 €</t>
        </is>
      </c>
      <c r="E19" s="5" t="inlineStr">
        <is>
          <t>Reklamná agentúra</t>
        </is>
      </c>
      <c r="F19" s="4" t="inlineStr">
        <is>
          <t>áno</t>
        </is>
      </c>
      <c r="G19" s="4" t="inlineStr">
        <is>
          <t>17. 9. 2026</t>
        </is>
      </c>
      <c r="H19" s="23" t="inlineStr">
        <is>
          <t>pretlak.com</t>
        </is>
      </c>
      <c r="I19" s="23" t="inlineStr">
        <is>
          <t>Cez Pretlak</t>
        </is>
      </c>
      <c r="J19" s="23" t="inlineStr">
        <is>
          <t>PDF inzerátu + odoslaný e-mail z Odoslanej pošty</t>
        </is>
      </c>
    </row>
    <row r="20">
      <c r="A20" s="5" t="inlineStr">
        <is>
          <t>Grafický dizajnér mid</t>
        </is>
      </c>
      <c r="B20" s="5" t="inlineStr">
        <is>
          <t>i-Step</t>
        </is>
      </c>
      <c r="C20" s="5" t="inlineStr">
        <is>
          <t>Bratislava, hybrid</t>
        </is>
      </c>
      <c r="D20" s="5" t="inlineStr">
        <is>
          <t>od 1 600 €, faktúra</t>
        </is>
      </c>
      <c r="E20" s="5" t="inlineStr">
        <is>
          <t>Full service marketingová agentúra. Brand identity, kampane, social aj print. Žiadajú Adobe aj Figmu, plus body za motion, AI nástroje a ilustráciu.</t>
        </is>
      </c>
      <c r="F20" s="4" t="inlineStr">
        <is>
          <t>áno</t>
        </is>
      </c>
      <c r="G20" s="4" t="inlineStr">
        <is>
          <t>17. 9. 2026</t>
        </is>
      </c>
      <c r="H20" s="23" t="inlineStr">
        <is>
          <t>pretlak.com</t>
        </is>
      </c>
      <c r="I20" s="23" t="inlineStr">
        <is>
          <t>Cez Pretlak</t>
        </is>
      </c>
      <c r="J20" s="23" t="inlineStr">
        <is>
          <t>PDF inzerátu + odoslaný e-mail z Odoslanej pošty</t>
        </is>
      </c>
    </row>
    <row r="21">
      <c r="A21" s="5" t="inlineStr">
        <is>
          <t>Motion &amp; Graphic Designer</t>
        </is>
      </c>
      <c r="B21" s="5" t="inlineStr">
        <is>
          <t>KLARSTEIN (Berlin Brands Group)</t>
        </is>
      </c>
      <c r="C21" s="5" t="inlineStr">
        <is>
          <t>Bratislava, Grösslingová</t>
        </is>
      </c>
      <c r="D21" s="5" t="inlineStr">
        <is>
          <t>od 1 600 €</t>
        </is>
      </c>
      <c r="E21" s="5" t="inlineStr">
        <is>
          <t>Motion, strih videa a AI nástroje. Nežiadajú počet rokov praxe.</t>
        </is>
      </c>
      <c r="F21" s="4" t="inlineStr">
        <is>
          <t>nie</t>
        </is>
      </c>
      <c r="G21" s="4" t="n"/>
      <c r="H21" s="23" t="inlineStr">
        <is>
          <t>profesia.sk/praca/klarstein-berlin-brands-group/O5331654</t>
        </is>
      </c>
      <c r="I21" s="23" t="n"/>
      <c r="J21" s="23" t="n"/>
    </row>
    <row r="22">
      <c r="A22" s="5" t="inlineStr">
        <is>
          <t>Referent marketingu, obsah pre sociálne siete</t>
        </is>
      </c>
      <c r="B22" s="5" t="inlineStr">
        <is>
          <t>dm drogerie markt</t>
        </is>
      </c>
      <c r="C22" s="5" t="inlineStr">
        <is>
          <t>Bratislava, Záhradnícka</t>
        </is>
      </c>
      <c r="D22" s="5" t="inlineStr">
        <is>
          <t>2 196 €</t>
        </is>
      </c>
      <c r="E22" s="5" t="inlineStr">
        <is>
          <t>Presne to, čo robíš pre ShapelesAi. Najlepšie platené z celého zoznamu.</t>
        </is>
      </c>
      <c r="F22" s="4" t="inlineStr">
        <is>
          <t>nie</t>
        </is>
      </c>
      <c r="G22" s="4" t="n"/>
      <c r="H22" s="23" t="inlineStr">
        <is>
          <t>profesia.sk/praca/dm-drogerie-markt/O5335002</t>
        </is>
      </c>
      <c r="I22" s="23" t="n"/>
      <c r="J22" s="23" t="n"/>
    </row>
    <row r="23">
      <c r="A23" s="5" t="inlineStr">
        <is>
          <t>Marketingový špecialista junior</t>
        </is>
      </c>
      <c r="B23" s="5" t="inlineStr">
        <is>
          <t>MediaTech Central Europe</t>
        </is>
      </c>
      <c r="C23" s="5" t="inlineStr">
        <is>
          <t>Bratislava, Drieňová 34</t>
        </is>
      </c>
      <c r="D23" s="5" t="inlineStr">
        <is>
          <t>od 1 500 €</t>
        </is>
      </c>
      <c r="E23" s="5" t="inlineStr">
        <is>
          <t>Junior pozícia, marketing s grafikou.</t>
        </is>
      </c>
      <c r="F23" s="4" t="inlineStr">
        <is>
          <t>nie</t>
        </is>
      </c>
      <c r="G23" s="4" t="n"/>
      <c r="H23" s="23" t="inlineStr">
        <is>
          <t>profesia.sk/praca/mediatech-central-europe/O5333256</t>
        </is>
      </c>
      <c r="I23" s="23" t="n"/>
      <c r="J23" s="23" t="n"/>
    </row>
    <row r="24">
      <c r="A24" s="4" t="inlineStr">
        <is>
          <t>Graphic Designer</t>
        </is>
      </c>
      <c r="B24" s="4" t="inlineStr">
        <is>
          <t>Premedix</t>
        </is>
      </c>
      <c r="C24" s="4" t="inlineStr">
        <is>
          <t>Bratislava, Panenská 7</t>
        </is>
      </c>
      <c r="D24" s="4" t="inlineStr">
        <is>
          <t>1 800 €</t>
        </is>
      </c>
      <c r="E24" s="4" t="inlineStr">
        <is>
          <t>Print aj digitál. Žiadajú 2 až 3 roky praxe, výber je na tri kolá so zadaním.</t>
        </is>
      </c>
      <c r="F24" s="4" t="inlineStr">
        <is>
          <t>nie</t>
        </is>
      </c>
      <c r="G24" s="4" t="n"/>
      <c r="H24" s="23" t="inlineStr">
        <is>
          <t>profesia.sk/praca/premedix/O5333707</t>
        </is>
      </c>
      <c r="I24" s="23" t="n"/>
      <c r="J24" s="23" t="n"/>
    </row>
    <row r="25">
      <c r="A25" s="4" t="inlineStr">
        <is>
          <t>Grafik / kreatívny pracovník</t>
        </is>
      </c>
      <c r="B25" s="4" t="inlineStr">
        <is>
          <t>SLARA</t>
        </is>
      </c>
      <c r="C25" s="4" t="inlineStr">
        <is>
          <t>Bratislava, Gagarinova</t>
        </is>
      </c>
      <c r="D25" s="4" t="inlineStr">
        <is>
          <t>1 500 – 2 100 €</t>
        </is>
      </c>
      <c r="E25" s="4" t="inlineStr">
        <is>
          <t>Agentúra. Žiadajú 3 roky praxe a je to na živnosť. Bez portfólia CV nečítajú.</t>
        </is>
      </c>
      <c r="F25" s="4" t="inlineStr">
        <is>
          <t>nie</t>
        </is>
      </c>
      <c r="G25" s="4" t="n"/>
      <c r="H25" s="23" t="inlineStr">
        <is>
          <t>profesia.sk/praca/slara/O3961268</t>
        </is>
      </c>
      <c r="I25" s="23" t="n"/>
      <c r="J25" s="23" t="n"/>
    </row>
    <row r="26">
      <c r="A26" s="4" t="n"/>
      <c r="B26" s="4" t="n"/>
      <c r="C26" s="4" t="n"/>
      <c r="D26" s="4" t="n"/>
      <c r="E26" s="4" t="n"/>
      <c r="F26" s="4" t="n"/>
      <c r="G26" s="4" t="n"/>
      <c r="H26" s="23" t="n"/>
      <c r="I26" s="23" t="n"/>
      <c r="J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</row>
  </sheetData>
  <mergeCells count="2">
    <mergeCell ref="A1:J1"/>
    <mergeCell ref="A2:J2"/>
  </mergeCells>
  <conditionalFormatting sqref="F5:F26">
    <cfRule type="expression" priority="1" dxfId="0">
      <formula>$F5="áno"</formula>
    </cfRule>
  </conditionalFormatting>
  <dataValidations count="1">
    <dataValidation sqref="F5:F31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2" customWidth="1" min="3" max="3"/>
    <col width="12" customWidth="1" min="4" max="4"/>
  </cols>
  <sheetData>
    <row r="1">
      <c r="A1" s="1" t="inlineStr">
        <is>
          <t>Úlohy — osem týždňov</t>
        </is>
      </c>
    </row>
    <row r="2">
      <c r="A2" s="2" t="inlineStr">
        <is>
          <t>Do stĺpca Hotovo píš áno. Podrobnosti sú v dennom pláne.</t>
        </is>
      </c>
    </row>
    <row r="4" ht="30" customHeight="1">
      <c r="A4" s="3" t="inlineStr">
        <is>
          <t>Týždeň</t>
        </is>
      </c>
      <c r="B4" s="3" t="inlineStr">
        <is>
          <t>Deň</t>
        </is>
      </c>
      <c r="C4" s="3" t="inlineStr">
        <is>
          <t>Čo urobiť</t>
        </is>
      </c>
      <c r="D4" s="3" t="inlineStr">
        <is>
          <t>Hotovo</t>
        </is>
      </c>
    </row>
    <row r="5">
      <c r="A5" s="11" t="inlineStr">
        <is>
          <t>0</t>
        </is>
      </c>
      <c r="B5" s="11" t="inlineStr">
        <is>
          <t>Pondelok</t>
        </is>
      </c>
      <c r="C5" s="11" t="inlineStr">
        <is>
          <t>Vyexportovať obrázky prác a poslať ich</t>
        </is>
      </c>
      <c r="D5" s="4" t="inlineStr"/>
    </row>
    <row r="6">
      <c r="A6" s="11" t="inlineStr">
        <is>
          <t>0</t>
        </is>
      </c>
      <c r="B6" s="11" t="inlineStr">
        <is>
          <t>Utorok</t>
        </is>
      </c>
      <c r="C6" s="11" t="inlineStr">
        <is>
          <t>LinkedIn: fotka, titulok, sekcia O mne, adresa profilu</t>
        </is>
      </c>
      <c r="D6" s="4" t="inlineStr"/>
    </row>
    <row r="7">
      <c r="A7" s="11" t="inlineStr">
        <is>
          <t>0</t>
        </is>
      </c>
      <c r="B7" s="11" t="inlineStr">
        <is>
          <t>Streda</t>
        </is>
      </c>
      <c r="C7" s="11" t="inlineStr">
        <is>
          <t>LinkedIn: zručnosti, Erasmus do vzdelania, mapa školy do praxe</t>
        </is>
      </c>
      <c r="D7" s="4" t="inlineStr"/>
    </row>
    <row r="8">
      <c r="A8" s="11" t="inlineStr">
        <is>
          <t>0</t>
        </is>
      </c>
      <c r="B8" s="11" t="inlineStr">
        <is>
          <t>Štvrtok</t>
        </is>
      </c>
      <c r="C8" s="11" t="inlineStr">
        <is>
          <t>LinkedIn: spojenia z dvoch na päťdesiat, naraz v jednej dávke</t>
        </is>
      </c>
      <c r="D8" s="4" t="inlineStr"/>
    </row>
    <row r="9">
      <c r="A9" s="11" t="inlineStr">
        <is>
          <t>0</t>
        </is>
      </c>
      <c r="B9" s="11" t="inlineStr">
        <is>
          <t>Piatok</t>
        </is>
      </c>
      <c r="C9" s="11" t="inlineStr">
        <is>
          <t>Kníhkupectvo — odfotiť tiráže pätnástich kníh</t>
        </is>
      </c>
      <c r="D9" s="4" t="inlineStr"/>
    </row>
    <row r="10">
      <c r="A10" s="11" t="inlineStr">
        <is>
          <t>0</t>
        </is>
      </c>
      <c r="B10" s="11" t="inlineStr">
        <is>
          <t>Sobota</t>
        </is>
      </c>
      <c r="C10" s="11" t="inlineStr">
        <is>
          <t>Založiť túto tabuľku a napísať mená na týždeň 1</t>
        </is>
      </c>
      <c r="D10" s="4" t="inlineStr"/>
    </row>
    <row r="11">
      <c r="A11" s="11" t="inlineStr">
        <is>
          <t>0</t>
        </is>
      </c>
      <c r="B11" s="11" t="inlineStr">
        <is>
          <t>Nedeľa</t>
        </is>
      </c>
      <c r="C11" s="11" t="inlineStr">
        <is>
          <t>Blok 45 min: napísať tri správy podľa šablón A a B</t>
        </is>
      </c>
      <c r="D11" s="4" t="inlineStr"/>
    </row>
    <row r="12">
      <c r="A12" s="5" t="inlineStr">
        <is>
          <t>1</t>
        </is>
      </c>
      <c r="B12" s="5" t="inlineStr">
        <is>
          <t>Pondelok</t>
        </is>
      </c>
      <c r="C12" s="5" t="inlineStr">
        <is>
          <t>Správa A prvému učiteľovi z priemyslovky</t>
        </is>
      </c>
      <c r="D12" s="4" t="inlineStr"/>
    </row>
    <row r="13">
      <c r="A13" s="5" t="inlineStr">
        <is>
          <t>1</t>
        </is>
      </c>
      <c r="B13" s="5" t="inlineStr">
        <is>
          <t>Utorok</t>
        </is>
      </c>
      <c r="C13" s="5" t="inlineStr">
        <is>
          <t>Správa A druhému učiteľovi</t>
        </is>
      </c>
      <c r="D13" s="4" t="inlineStr"/>
    </row>
    <row r="14">
      <c r="A14" s="5" t="inlineStr">
        <is>
          <t>1</t>
        </is>
      </c>
      <c r="B14" s="5" t="inlineStr">
        <is>
          <t>Streda</t>
        </is>
      </c>
      <c r="C14" s="5" t="inlineStr">
        <is>
          <t>Správa B vedúcemu diplomovky</t>
        </is>
      </c>
      <c r="D14" s="4" t="inlineStr"/>
    </row>
    <row r="15">
      <c r="A15" s="5" t="inlineStr">
        <is>
          <t>1</t>
        </is>
      </c>
      <c r="B15" s="5" t="inlineStr">
        <is>
          <t>Štvrtok</t>
        </is>
      </c>
      <c r="C15" s="5" t="inlineStr">
        <is>
          <t>Odpovede do 24 hodín, olajkovať tri príspevky na LinkedIne</t>
        </is>
      </c>
      <c r="D15" s="4" t="inlineStr"/>
    </row>
    <row r="16">
      <c r="A16" s="5" t="inlineStr">
        <is>
          <t>1</t>
        </is>
      </c>
      <c r="B16" s="5" t="inlineStr">
        <is>
          <t>Piatok</t>
        </is>
      </c>
      <c r="C16" s="5" t="inlineStr">
        <is>
          <t>Prihlásiť sa na dva inzeráty</t>
        </is>
      </c>
      <c r="D16" s="4" t="inlineStr"/>
    </row>
    <row r="17">
      <c r="A17" s="5" t="inlineStr">
        <is>
          <t>1</t>
        </is>
      </c>
      <c r="B17" s="5" t="inlineStr">
        <is>
          <t>Nedeľa</t>
        </is>
      </c>
      <c r="C17" s="5" t="inlineStr">
        <is>
          <t>Blok: päť správ vrátane Slovartu</t>
        </is>
      </c>
      <c r="D17" s="4" t="inlineStr"/>
    </row>
    <row r="18">
      <c r="A18" s="11" t="inlineStr">
        <is>
          <t>2</t>
        </is>
      </c>
      <c r="B18" s="11" t="inlineStr">
        <is>
          <t>Pondelok</t>
        </is>
      </c>
      <c r="C18" s="11" t="inlineStr">
        <is>
          <t>Správa C — kolega z MOJESIDLO</t>
        </is>
      </c>
      <c r="D18" s="4" t="inlineStr"/>
    </row>
    <row r="19">
      <c r="A19" s="11" t="inlineStr">
        <is>
          <t>2</t>
        </is>
      </c>
      <c r="B19" s="11" t="inlineStr">
        <is>
          <t>Utorok</t>
        </is>
      </c>
      <c r="C19" s="11" t="inlineStr">
        <is>
          <t>Správa C — druhý kolega alebo spolužiak</t>
        </is>
      </c>
      <c r="D19" s="4" t="inlineStr"/>
    </row>
    <row r="20">
      <c r="A20" s="11" t="inlineStr">
        <is>
          <t>2</t>
        </is>
      </c>
      <c r="B20" s="11" t="inlineStr">
        <is>
          <t>Streda</t>
        </is>
      </c>
      <c r="C20" s="11" t="inlineStr">
        <is>
          <t>Správa C — spolužiak</t>
        </is>
      </c>
      <c r="D20" s="4" t="inlineStr"/>
    </row>
    <row r="21">
      <c r="A21" s="11" t="inlineStr">
        <is>
          <t>2</t>
        </is>
      </c>
      <c r="B21" s="11" t="inlineStr">
        <is>
          <t>Štvrtok</t>
        </is>
      </c>
      <c r="C21" s="11" t="inlineStr">
        <is>
          <t>STUDENÉ č. 1: Slovart, Michal Šajmír</t>
        </is>
      </c>
      <c r="D21" s="4" t="inlineStr"/>
    </row>
    <row r="22">
      <c r="A22" s="11" t="inlineStr">
        <is>
          <t>2</t>
        </is>
      </c>
      <c r="B22" s="11" t="inlineStr">
        <is>
          <t>Piatok</t>
        </is>
      </c>
      <c r="C22" s="11" t="inlineStr">
        <is>
          <t>Inzeráty a päť spojení na LinkedIne</t>
        </is>
      </c>
      <c r="D22" s="4" t="inlineStr"/>
    </row>
    <row r="23">
      <c r="A23" s="11" t="inlineStr">
        <is>
          <t>2</t>
        </is>
      </c>
      <c r="B23" s="11" t="inlineStr">
        <is>
          <t>Nedeľa</t>
        </is>
      </c>
      <c r="C23" s="11" t="inlineStr">
        <is>
          <t>Blok: päť správ vrátane Spolku sv. Vojtecha</t>
        </is>
      </c>
      <c r="D23" s="4" t="inlineStr"/>
    </row>
    <row r="24">
      <c r="A24" s="5" t="inlineStr">
        <is>
          <t>3</t>
        </is>
      </c>
      <c r="B24" s="5" t="inlineStr">
        <is>
          <t>Pondelok</t>
        </is>
      </c>
      <c r="C24" s="5" t="inlineStr">
        <is>
          <t>Oslovenie cez známeho — meno odporúčajúceho do predmetu</t>
        </is>
      </c>
      <c r="D24" s="4" t="inlineStr"/>
    </row>
    <row r="25">
      <c r="A25" s="5" t="inlineStr">
        <is>
          <t>3</t>
        </is>
      </c>
      <c r="B25" s="5" t="inlineStr">
        <is>
          <t>Utorok</t>
        </is>
      </c>
      <c r="C25" s="5" t="inlineStr">
        <is>
          <t>Poďakovať odporúčajúcemu, prípadne druhé oslovenie</t>
        </is>
      </c>
      <c r="D25" s="4" t="inlineStr"/>
    </row>
    <row r="26">
      <c r="A26" s="5" t="inlineStr">
        <is>
          <t>3</t>
        </is>
      </c>
      <c r="B26" s="5" t="inlineStr">
        <is>
          <t>Streda</t>
        </is>
      </c>
      <c r="C26" s="5" t="inlineStr">
        <is>
          <t>STUDENÉ č. 2: Spolok sv. Vojtecha, Eva Bubnášová</t>
        </is>
      </c>
      <c r="D26" s="4" t="inlineStr"/>
    </row>
    <row r="27">
      <c r="A27" s="5" t="inlineStr">
        <is>
          <t>3</t>
        </is>
      </c>
      <c r="B27" s="5" t="inlineStr">
        <is>
          <t>Štvrtok</t>
        </is>
      </c>
      <c r="C27" s="5" t="inlineStr">
        <is>
          <t>Odpovede a tabuľka</t>
        </is>
      </c>
      <c r="D27" s="4" t="inlineStr"/>
    </row>
    <row r="28">
      <c r="A28" s="5" t="inlineStr">
        <is>
          <t>3</t>
        </is>
      </c>
      <c r="B28" s="5" t="inlineStr">
        <is>
          <t>Piatok</t>
        </is>
      </c>
      <c r="C28" s="5" t="inlineStr">
        <is>
          <t>Inzeráty a LinkedIn</t>
        </is>
      </c>
      <c r="D28" s="4" t="inlineStr"/>
    </row>
    <row r="29">
      <c r="A29" s="5" t="inlineStr">
        <is>
          <t>3</t>
        </is>
      </c>
      <c r="B29" s="5" t="inlineStr">
        <is>
          <t>Nedeľa</t>
        </is>
      </c>
      <c r="C29" s="5" t="inlineStr">
        <is>
          <t>Blok na týždeň 4 vrátane Orbis Pictus</t>
        </is>
      </c>
      <c r="D29" s="4" t="inlineStr"/>
    </row>
    <row r="30">
      <c r="A30" s="11" t="inlineStr">
        <is>
          <t>4</t>
        </is>
      </c>
      <c r="B30" s="11" t="inlineStr">
        <is>
          <t>Pondelok</t>
        </is>
      </c>
      <c r="C30" s="11" t="inlineStr">
        <is>
          <t>Oslovenie cez známeho</t>
        </is>
      </c>
      <c r="D30" s="4" t="inlineStr"/>
    </row>
    <row r="31">
      <c r="A31" s="11" t="inlineStr">
        <is>
          <t>4</t>
        </is>
      </c>
      <c r="B31" s="11" t="inlineStr">
        <is>
          <t>Utorok</t>
        </is>
      </c>
      <c r="C31" s="11" t="inlineStr">
        <is>
          <t>Oslovenie cez známeho alebo Re-RO</t>
        </is>
      </c>
      <c r="D31" s="4" t="inlineStr"/>
    </row>
    <row r="32">
      <c r="A32" s="11" t="inlineStr">
        <is>
          <t>4</t>
        </is>
      </c>
      <c r="B32" s="11" t="inlineStr">
        <is>
          <t>Streda</t>
        </is>
      </c>
      <c r="C32" s="11" t="inlineStr">
        <is>
          <t>STUDENÉ č. 3: Orbis Pictus</t>
        </is>
      </c>
      <c r="D32" s="4" t="inlineStr"/>
    </row>
    <row r="33">
      <c r="A33" s="11" t="inlineStr">
        <is>
          <t>4</t>
        </is>
      </c>
      <c r="B33" s="11" t="inlineStr">
        <is>
          <t>Štvrtok</t>
        </is>
      </c>
      <c r="C33" s="11" t="inlineStr">
        <is>
          <t>Odpovede</t>
        </is>
      </c>
      <c r="D33" s="4" t="inlineStr"/>
    </row>
    <row r="34">
      <c r="A34" s="11" t="inlineStr">
        <is>
          <t>4</t>
        </is>
      </c>
      <c r="B34" s="11" t="inlineStr">
        <is>
          <t>Piatok</t>
        </is>
      </c>
      <c r="C34" s="11" t="inlineStr">
        <is>
          <t>Inzeráty a LinkedIn</t>
        </is>
      </c>
      <c r="D34" s="4" t="inlineStr"/>
    </row>
    <row r="35">
      <c r="A35" s="11" t="inlineStr">
        <is>
          <t>4</t>
        </is>
      </c>
      <c r="B35" s="11" t="inlineStr">
        <is>
          <t>Sobota</t>
        </is>
      </c>
      <c r="C35" s="11" t="inlineStr">
        <is>
          <t>Začať nevyžiadanú obálku na titul zo Slovartu</t>
        </is>
      </c>
      <c r="D35" s="4" t="inlineStr"/>
    </row>
    <row r="36">
      <c r="A36" s="11" t="inlineStr">
        <is>
          <t>4</t>
        </is>
      </c>
      <c r="B36" s="11" t="inlineStr">
        <is>
          <t>Nedeľa</t>
        </is>
      </c>
      <c r="C36" s="11" t="inlineStr">
        <is>
          <t>Blok na týždeň 5 vrátane Albatrosu</t>
        </is>
      </c>
      <c r="D36" s="4" t="inlineStr"/>
    </row>
    <row r="37">
      <c r="A37" s="5" t="inlineStr">
        <is>
          <t>5</t>
        </is>
      </c>
      <c r="B37" s="5" t="inlineStr">
        <is>
          <t>Pondelok</t>
        </is>
      </c>
      <c r="C37" s="5" t="inlineStr">
        <is>
          <t>Nudge tým z týždňa 1, čo mlčia — len raz</t>
        </is>
      </c>
      <c r="D37" s="4" t="inlineStr"/>
    </row>
    <row r="38">
      <c r="A38" s="5" t="inlineStr">
        <is>
          <t>5</t>
        </is>
      </c>
      <c r="B38" s="5" t="inlineStr">
        <is>
          <t>Utorok</t>
        </is>
      </c>
      <c r="C38" s="5" t="inlineStr">
        <is>
          <t>Druhý nudge</t>
        </is>
      </c>
      <c r="D38" s="4" t="inlineStr"/>
    </row>
    <row r="39">
      <c r="A39" s="5" t="inlineStr">
        <is>
          <t>5</t>
        </is>
      </c>
      <c r="B39" s="5" t="inlineStr">
        <is>
          <t>Streda</t>
        </is>
      </c>
      <c r="C39" s="5" t="inlineStr">
        <is>
          <t>STUDENÉ č. 4: Albatros, Sandra Friedrichová</t>
        </is>
      </c>
      <c r="D39" s="4" t="inlineStr"/>
    </row>
    <row r="40">
      <c r="A40" s="5" t="inlineStr">
        <is>
          <t>5</t>
        </is>
      </c>
      <c r="B40" s="5" t="inlineStr">
        <is>
          <t>Štvrtok</t>
        </is>
      </c>
      <c r="C40" s="5" t="inlineStr">
        <is>
          <t>Odpovede</t>
        </is>
      </c>
      <c r="D40" s="4" t="inlineStr"/>
    </row>
    <row r="41">
      <c r="A41" s="5" t="inlineStr">
        <is>
          <t>5</t>
        </is>
      </c>
      <c r="B41" s="5" t="inlineStr">
        <is>
          <t>Piatok</t>
        </is>
      </c>
      <c r="C41" s="5" t="inlineStr">
        <is>
          <t>Inzeráty a LinkedIn</t>
        </is>
      </c>
      <c r="D41" s="4" t="inlineStr"/>
    </row>
    <row r="42">
      <c r="A42" s="5" t="inlineStr">
        <is>
          <t>5</t>
        </is>
      </c>
      <c r="B42" s="5" t="inlineStr">
        <is>
          <t>Sobota</t>
        </is>
      </c>
      <c r="C42" s="5" t="inlineStr">
        <is>
          <t>Dokončiť obálku, spraviť mockup</t>
        </is>
      </c>
      <c r="D42" s="4" t="inlineStr"/>
    </row>
    <row r="43">
      <c r="A43" s="5" t="inlineStr">
        <is>
          <t>5</t>
        </is>
      </c>
      <c r="B43" s="5" t="inlineStr">
        <is>
          <t>Nedeľa</t>
        </is>
      </c>
      <c r="C43" s="5" t="inlineStr">
        <is>
          <t>Blok na týždeň 6 vrátane Dobrej knihy</t>
        </is>
      </c>
      <c r="D43" s="4" t="inlineStr"/>
    </row>
    <row r="44">
      <c r="A44" s="11" t="inlineStr">
        <is>
          <t>6</t>
        </is>
      </c>
      <c r="B44" s="11" t="inlineStr">
        <is>
          <t>Pondelok</t>
        </is>
      </c>
      <c r="C44" s="11" t="inlineStr">
        <is>
          <t>Nahodiť obálku na web ako nový projekt</t>
        </is>
      </c>
      <c r="D44" s="4" t="inlineStr"/>
    </row>
    <row r="45">
      <c r="A45" s="11" t="inlineStr">
        <is>
          <t>6</t>
        </is>
      </c>
      <c r="B45" s="11" t="inlineStr">
        <is>
          <t>Utorok</t>
        </is>
      </c>
      <c r="C45" s="11" t="inlineStr">
        <is>
          <t>Poslať obálku Slovartu — bez prosby, nič si zaň nepýtaš</t>
        </is>
      </c>
      <c r="D45" s="4" t="inlineStr"/>
    </row>
    <row r="46">
      <c r="A46" s="11" t="inlineStr">
        <is>
          <t>6</t>
        </is>
      </c>
      <c r="B46" s="11" t="inlineStr">
        <is>
          <t>Streda</t>
        </is>
      </c>
      <c r="C46" s="11" t="inlineStr">
        <is>
          <t>STUDENÉ č. 5: Dobrá kniha, Trnava</t>
        </is>
      </c>
      <c r="D46" s="4" t="inlineStr"/>
    </row>
    <row r="47">
      <c r="A47" s="11" t="inlineStr">
        <is>
          <t>6</t>
        </is>
      </c>
      <c r="B47" s="11" t="inlineStr">
        <is>
          <t>Štvrtok</t>
        </is>
      </c>
      <c r="C47" s="11" t="inlineStr">
        <is>
          <t>Nudge z týždňa 2</t>
        </is>
      </c>
      <c r="D47" s="4" t="inlineStr"/>
    </row>
    <row r="48">
      <c r="A48" s="11" t="inlineStr">
        <is>
          <t>6</t>
        </is>
      </c>
      <c r="B48" s="11" t="inlineStr">
        <is>
          <t>Piatok</t>
        </is>
      </c>
      <c r="C48" s="11" t="inlineStr">
        <is>
          <t>Inzeráty a LinkedIn</t>
        </is>
      </c>
      <c r="D48" s="4" t="inlineStr"/>
    </row>
    <row r="49">
      <c r="A49" s="11" t="inlineStr">
        <is>
          <t>6</t>
        </is>
      </c>
      <c r="B49" s="11" t="inlineStr">
        <is>
          <t>Nedeľa</t>
        </is>
      </c>
      <c r="C49" s="11" t="inlineStr">
        <is>
          <t>Blok na týždeň 7 vrátane Buviku</t>
        </is>
      </c>
      <c r="D49" s="4" t="inlineStr"/>
    </row>
    <row r="50">
      <c r="A50" s="5" t="inlineStr">
        <is>
          <t>7</t>
        </is>
      </c>
      <c r="B50" s="5" t="inlineStr">
        <is>
          <t>Pondelok</t>
        </is>
      </c>
      <c r="C50" s="5" t="inlineStr">
        <is>
          <t>STUDENÉ č. 6: Buvik, Mária Števková — najprv prečítať jej knihu</t>
        </is>
      </c>
      <c r="D50" s="4" t="inlineStr"/>
    </row>
    <row r="51">
      <c r="A51" s="5" t="inlineStr">
        <is>
          <t>7</t>
        </is>
      </c>
      <c r="B51" s="5" t="inlineStr">
        <is>
          <t>Ut – pia</t>
        </is>
      </c>
      <c r="C51" s="5" t="inlineStr">
        <is>
          <t>Odpovede, nudge, inzeráty, LinkedIn</t>
        </is>
      </c>
      <c r="D51" s="4" t="inlineStr"/>
    </row>
    <row r="52">
      <c r="A52" s="5" t="inlineStr">
        <is>
          <t>7</t>
        </is>
      </c>
      <c r="B52" s="5" t="inlineStr">
        <is>
          <t>Nedeľa</t>
        </is>
      </c>
      <c r="C52" s="5" t="inlineStr">
        <is>
          <t>Blok na týždeň 8 vrátane IKARu a BIBIANY</t>
        </is>
      </c>
      <c r="D52" s="4" t="inlineStr"/>
    </row>
    <row r="53">
      <c r="A53" s="11" t="inlineStr">
        <is>
          <t>8</t>
        </is>
      </c>
      <c r="B53" s="11" t="inlineStr">
        <is>
          <t>Pondelok</t>
        </is>
      </c>
      <c r="C53" s="11" t="inlineStr">
        <is>
          <t>STUDENÉ č. 7: IKAR, redakcia</t>
        </is>
      </c>
      <c r="D53" s="4" t="inlineStr"/>
    </row>
    <row r="54">
      <c r="A54" s="11" t="inlineStr">
        <is>
          <t>8</t>
        </is>
      </c>
      <c r="B54" s="11" t="inlineStr">
        <is>
          <t>Utorok</t>
        </is>
      </c>
      <c r="C54" s="11" t="inlineStr">
        <is>
          <t>STUDENÉ č. 8: BIBIANA</t>
        </is>
      </c>
      <c r="D54" s="4" t="inlineStr"/>
    </row>
    <row r="55">
      <c r="A55" s="11" t="inlineStr">
        <is>
          <t>8</t>
        </is>
      </c>
      <c r="B55" s="11" t="inlineStr">
        <is>
          <t>Streda</t>
        </is>
      </c>
      <c r="C55" s="11" t="inlineStr">
        <is>
          <t>Posledné nudge</t>
        </is>
      </c>
      <c r="D55" s="4" t="inlineStr"/>
    </row>
    <row r="56">
      <c r="A56" s="11" t="inlineStr">
        <is>
          <t>8</t>
        </is>
      </c>
      <c r="B56" s="11" t="inlineStr">
        <is>
          <t>Štvrtok</t>
        </is>
      </c>
      <c r="C56" s="11" t="inlineStr">
        <is>
          <t>Inzeráty</t>
        </is>
      </c>
      <c r="D56" s="4" t="inlineStr"/>
    </row>
    <row r="57">
      <c r="A57" s="11" t="inlineStr">
        <is>
          <t>8</t>
        </is>
      </c>
      <c r="B57" s="11" t="inlineStr">
        <is>
          <t>Piatok</t>
        </is>
      </c>
      <c r="C57" s="11" t="inlineStr">
        <is>
          <t>Vyhodnotenie — pozri hárok Prehľad</t>
        </is>
      </c>
      <c r="D57" s="4" t="inlineStr"/>
    </row>
    <row r="59">
      <c r="A59" s="11" t="inlineStr"/>
      <c r="B59" s="11" t="inlineStr"/>
      <c r="C59" s="11" t="inlineStr">
        <is>
          <t>PO POHOVOROCH — august a november 2026</t>
        </is>
      </c>
      <c r="D59" s="4" t="n"/>
    </row>
    <row r="60">
      <c r="A60" s="11" t="inlineStr">
        <is>
          <t>18. 8.</t>
        </is>
      </c>
      <c r="B60" s="11" t="inlineStr">
        <is>
          <t>Utorok</t>
        </is>
      </c>
      <c r="C60" s="11" t="inlineStr">
        <is>
          <t>SNG: ďakovný mail Alexandre Pilo. Do 24 hodín od pohovoru, teda dnes je posledný deň.</t>
        </is>
      </c>
      <c r="D60" s="4" t="n"/>
    </row>
    <row r="61">
      <c r="A61" s="11" t="inlineStr">
        <is>
          <t>18. 8.</t>
        </is>
      </c>
      <c r="B61" s="11" t="inlineStr">
        <is>
          <t>Utorok</t>
        </is>
      </c>
      <c r="C61" s="11" t="inlineStr">
        <is>
          <t>SNG: žiadosť o spojenie na LinkedIne s Alexandrou Pilo, spolu s poďakovaním.</t>
        </is>
      </c>
      <c r="D61" s="4" t="n"/>
    </row>
    <row r="62">
      <c r="A62" s="11" t="inlineStr">
        <is>
          <t>18. 8.</t>
        </is>
      </c>
      <c r="B62" s="11" t="inlineStr">
        <is>
          <t>Utorok</t>
        </is>
      </c>
      <c r="C62" s="11" t="inlineStr">
        <is>
          <t>High5: odpoveď na odmietnutie. Poďakovať, poprosiť o jednu konkrétnu spätnú väzbu, ponúknuť výpomoc.</t>
        </is>
      </c>
      <c r="D62" s="4" t="n"/>
    </row>
    <row r="63">
      <c r="A63" s="11" t="inlineStr">
        <is>
          <t>18. 8.</t>
        </is>
      </c>
      <c r="B63" s="11" t="inlineStr">
        <is>
          <t>Utorok</t>
        </is>
      </c>
      <c r="C63" s="11" t="inlineStr">
        <is>
          <t>High5: žiadosť o spojenie na LinkedIne.</t>
        </is>
      </c>
      <c r="D63" s="4" t="n"/>
    </row>
    <row r="64">
      <c r="A64" s="11" t="inlineStr">
        <is>
          <t>25. 8.</t>
        </is>
      </c>
      <c r="B64" s="11" t="inlineStr">
        <is>
          <t>Utorok</t>
        </is>
      </c>
      <c r="C64" s="11" t="inlineStr">
        <is>
          <t>SNG: ak sa do týždňa neozvú, jeden zdvorilý dotaz na stav výberového konania.</t>
        </is>
      </c>
      <c r="D64" s="4" t="n"/>
    </row>
    <row r="65">
      <c r="A65" s="11" t="inlineStr">
        <is>
          <t>17. 11.</t>
        </is>
      </c>
      <c r="B65" s="11" t="inlineStr">
        <is>
          <t>Pondelok</t>
        </is>
      </c>
      <c r="C65" s="11" t="inlineStr">
        <is>
          <t>High5: druhý kontakt s jednou novou prácou. Nie prosba, len ukážka.</t>
        </is>
      </c>
      <c r="D65" s="4" t="n"/>
    </row>
    <row r="67">
      <c r="C67" t="inlineStr">
        <is>
          <t>Hotových úloh z celkových 59</t>
        </is>
      </c>
      <c r="D67">
        <f>COUNTIF(D5:D65,"áno")</f>
        <v/>
      </c>
    </row>
  </sheetData>
  <mergeCells count="2">
    <mergeCell ref="A1:D1"/>
    <mergeCell ref="A2:D2"/>
  </mergeCells>
  <conditionalFormatting sqref="D5:D57">
    <cfRule type="expression" priority="1" dxfId="0">
      <formula>$D5="áno"</formula>
    </cfRule>
  </conditionalFormatting>
  <dataValidations count="1">
    <dataValidation sqref="D5:D65" showDropDown="0" showInputMessage="0" showErrorMessage="0" allowBlank="1" type="list">
      <formula1>"áno"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2026-07-28T06:47:04Z</dcterms:created>
  <dcterms:modified xsi:type="dcterms:W3CDTF">2026-09-17T18:40:09Z</dcterms:modified>
</cp:coreProperties>
</file>